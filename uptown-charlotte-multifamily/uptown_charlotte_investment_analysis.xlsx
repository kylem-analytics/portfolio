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2d14375758c7c6/Job_Hunt/Charlotte/"/>
    </mc:Choice>
  </mc:AlternateContent>
  <xr:revisionPtr revIDLastSave="0" documentId="8_{FD8D0C83-DB91-4728-90DB-F9774908ECBA}" xr6:coauthVersionLast="47" xr6:coauthVersionMax="47" xr10:uidLastSave="{00000000-0000-0000-0000-000000000000}"/>
  <bookViews>
    <workbookView xWindow="-120" yWindow="-120" windowWidth="24240" windowHeight="13020" tabRatio="500" activeTab="1" xr2:uid="{00000000-000D-0000-FFFF-FFFF00000000}"/>
  </bookViews>
  <sheets>
    <sheet name="Pro Forma" sheetId="1" r:id="rId1"/>
    <sheet name="Worst Case" sheetId="2" r:id="rId2"/>
    <sheet name="Best Ca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3" i="3" l="1"/>
  <c r="C39" i="3"/>
  <c r="C38" i="3"/>
  <c r="G26" i="3"/>
  <c r="G24" i="3"/>
  <c r="G23" i="3"/>
  <c r="G22" i="3"/>
  <c r="G21" i="3"/>
  <c r="G20" i="3"/>
  <c r="G19" i="3"/>
  <c r="G18" i="3"/>
  <c r="G17" i="3"/>
  <c r="B13" i="3"/>
  <c r="G6" i="3"/>
  <c r="G26" i="2"/>
  <c r="G24" i="2"/>
  <c r="G23" i="2"/>
  <c r="G22" i="2"/>
  <c r="G21" i="2"/>
  <c r="G20" i="2"/>
  <c r="G19" i="2"/>
  <c r="G18" i="2"/>
  <c r="G17" i="2"/>
  <c r="B13" i="2"/>
  <c r="G6" i="2"/>
  <c r="C35" i="1"/>
  <c r="C34" i="1"/>
  <c r="C33" i="1"/>
  <c r="G26" i="1"/>
  <c r="G24" i="1"/>
  <c r="G23" i="1"/>
  <c r="G22" i="1"/>
  <c r="G21" i="1"/>
  <c r="G20" i="1"/>
  <c r="G19" i="1"/>
  <c r="G18" i="1"/>
  <c r="G17" i="1"/>
  <c r="B13" i="1"/>
  <c r="G6" i="1"/>
  <c r="C37" i="3" l="1"/>
  <c r="D37" i="3" s="1"/>
  <c r="E37" i="3" s="1"/>
  <c r="F37" i="3" s="1"/>
  <c r="G37" i="3" s="1"/>
  <c r="H37" i="3" s="1"/>
  <c r="C36" i="3"/>
  <c r="D36" i="3" s="1"/>
  <c r="E36" i="3" s="1"/>
  <c r="F36" i="3" s="1"/>
  <c r="G36" i="3" s="1"/>
  <c r="H36" i="3" s="1"/>
  <c r="C35" i="3"/>
  <c r="D35" i="3" s="1"/>
  <c r="E35" i="3" s="1"/>
  <c r="F35" i="3" s="1"/>
  <c r="G35" i="3" s="1"/>
  <c r="H35" i="3" s="1"/>
  <c r="C34" i="3"/>
  <c r="D34" i="3" s="1"/>
  <c r="E34" i="3" s="1"/>
  <c r="F34" i="3" s="1"/>
  <c r="G34" i="3" s="1"/>
  <c r="H34" i="3" s="1"/>
  <c r="C33" i="3"/>
  <c r="D33" i="3" s="1"/>
  <c r="E33" i="3" s="1"/>
  <c r="F33" i="3" s="1"/>
  <c r="G33" i="3" s="1"/>
  <c r="H33" i="3" s="1"/>
  <c r="C38" i="2"/>
  <c r="D38" i="2" s="1"/>
  <c r="E38" i="2" s="1"/>
  <c r="F38" i="2" s="1"/>
  <c r="G38" i="2" s="1"/>
  <c r="H38" i="2" s="1"/>
  <c r="C35" i="2"/>
  <c r="D35" i="2" s="1"/>
  <c r="E35" i="2" s="1"/>
  <c r="F35" i="2" s="1"/>
  <c r="G35" i="2" s="1"/>
  <c r="H35" i="2" s="1"/>
  <c r="D33" i="1"/>
  <c r="E33" i="1" s="1"/>
  <c r="F33" i="1" s="1"/>
  <c r="G33" i="1" s="1"/>
  <c r="H33" i="1" s="1"/>
  <c r="C32" i="3"/>
  <c r="C29" i="3"/>
  <c r="C43" i="2"/>
  <c r="D43" i="2" s="1"/>
  <c r="E43" i="2" s="1"/>
  <c r="F43" i="2" s="1"/>
  <c r="G43" i="2" s="1"/>
  <c r="H43" i="2" s="1"/>
  <c r="C39" i="2"/>
  <c r="D39" i="2" s="1"/>
  <c r="E39" i="2" s="1"/>
  <c r="F39" i="2" s="1"/>
  <c r="G39" i="2" s="1"/>
  <c r="H39" i="2" s="1"/>
  <c r="C37" i="2"/>
  <c r="D37" i="2" s="1"/>
  <c r="E37" i="2" s="1"/>
  <c r="F37" i="2" s="1"/>
  <c r="G37" i="2" s="1"/>
  <c r="H37" i="2" s="1"/>
  <c r="C36" i="2"/>
  <c r="D36" i="2" s="1"/>
  <c r="E36" i="2" s="1"/>
  <c r="F36" i="2" s="1"/>
  <c r="G36" i="2" s="1"/>
  <c r="H36" i="2" s="1"/>
  <c r="C34" i="2"/>
  <c r="D34" i="2" s="1"/>
  <c r="E34" i="2" s="1"/>
  <c r="F34" i="2" s="1"/>
  <c r="G34" i="2" s="1"/>
  <c r="H34" i="2" s="1"/>
  <c r="C33" i="2"/>
  <c r="D33" i="2" s="1"/>
  <c r="E33" i="2" s="1"/>
  <c r="F33" i="2" s="1"/>
  <c r="G33" i="2" s="1"/>
  <c r="H33" i="2" s="1"/>
  <c r="C32" i="2"/>
  <c r="C29" i="2"/>
  <c r="D43" i="3"/>
  <c r="E43" i="3" s="1"/>
  <c r="F43" i="3" s="1"/>
  <c r="G43" i="3" s="1"/>
  <c r="H43" i="3" s="1"/>
  <c r="D38" i="3"/>
  <c r="E38" i="3" s="1"/>
  <c r="F38" i="3" s="1"/>
  <c r="G38" i="3"/>
  <c r="H38" i="3" s="1"/>
  <c r="D34" i="1"/>
  <c r="E34" i="1" s="1"/>
  <c r="F34" i="1" s="1"/>
  <c r="G34" i="1" s="1"/>
  <c r="H34" i="1" s="1"/>
  <c r="C43" i="1"/>
  <c r="D43" i="1" s="1"/>
  <c r="E43" i="1" s="1"/>
  <c r="F43" i="1" s="1"/>
  <c r="G43" i="1" s="1"/>
  <c r="H43" i="1" s="1"/>
  <c r="C39" i="1"/>
  <c r="D39" i="1" s="1"/>
  <c r="E39" i="1" s="1"/>
  <c r="F39" i="1" s="1"/>
  <c r="G39" i="1" s="1"/>
  <c r="H39" i="1" s="1"/>
  <c r="C38" i="1"/>
  <c r="D38" i="1" s="1"/>
  <c r="E38" i="1" s="1"/>
  <c r="F38" i="1" s="1"/>
  <c r="G38" i="1" s="1"/>
  <c r="H38" i="1" s="1"/>
  <c r="C37" i="1"/>
  <c r="D37" i="1" s="1"/>
  <c r="E37" i="1" s="1"/>
  <c r="F37" i="1" s="1"/>
  <c r="G37" i="1" s="1"/>
  <c r="H37" i="1" s="1"/>
  <c r="C36" i="1"/>
  <c r="D36" i="1" s="1"/>
  <c r="E36" i="1" s="1"/>
  <c r="F36" i="1" s="1"/>
  <c r="G36" i="1" s="1"/>
  <c r="H36" i="1" s="1"/>
  <c r="D35" i="1"/>
  <c r="E35" i="1" s="1"/>
  <c r="F35" i="1" s="1"/>
  <c r="G35" i="1" s="1"/>
  <c r="H35" i="1" s="1"/>
  <c r="D39" i="3"/>
  <c r="E39" i="3" s="1"/>
  <c r="F39" i="3" s="1"/>
  <c r="G39" i="3" s="1"/>
  <c r="H39" i="3" s="1"/>
  <c r="C32" i="1"/>
  <c r="C29" i="1"/>
  <c r="D32" i="3" l="1"/>
  <c r="C41" i="3"/>
  <c r="D29" i="3"/>
  <c r="C30" i="3"/>
  <c r="D32" i="2"/>
  <c r="C41" i="2"/>
  <c r="C30" i="2"/>
  <c r="D29" i="2"/>
  <c r="C41" i="1"/>
  <c r="D32" i="1"/>
  <c r="D29" i="1"/>
  <c r="C30" i="1"/>
  <c r="C31" i="1"/>
  <c r="C42" i="1" s="1"/>
  <c r="E32" i="3" l="1"/>
  <c r="D41" i="3"/>
  <c r="E29" i="3"/>
  <c r="D30" i="3"/>
  <c r="D31" i="3"/>
  <c r="D42" i="3" s="1"/>
  <c r="D44" i="3" s="1"/>
  <c r="D48" i="3" s="1"/>
  <c r="E32" i="2"/>
  <c r="D41" i="2"/>
  <c r="D30" i="2"/>
  <c r="D31" i="2"/>
  <c r="D42" i="2" s="1"/>
  <c r="D44" i="2" s="1"/>
  <c r="D48" i="2" s="1"/>
  <c r="E29" i="2"/>
  <c r="D41" i="1"/>
  <c r="E32" i="1"/>
  <c r="E29" i="1"/>
  <c r="D30" i="1"/>
  <c r="D31" i="1"/>
  <c r="D42" i="1" s="1"/>
  <c r="D44" i="1" s="1"/>
  <c r="D48" i="1" s="1"/>
  <c r="C44" i="1"/>
  <c r="C48" i="1" s="1"/>
  <c r="B8" i="1"/>
  <c r="B9" i="1" s="1"/>
  <c r="B47" i="1" s="1"/>
  <c r="B50" i="1" s="1"/>
  <c r="C31" i="3"/>
  <c r="C42" i="3" s="1"/>
  <c r="C31" i="2"/>
  <c r="C42" i="2" s="1"/>
  <c r="F32" i="3" l="1"/>
  <c r="E41" i="3"/>
  <c r="F29" i="3"/>
  <c r="E30" i="3"/>
  <c r="E31" i="3"/>
  <c r="E42" i="3" s="1"/>
  <c r="E44" i="3" s="1"/>
  <c r="E48" i="3" s="1"/>
  <c r="D50" i="3"/>
  <c r="D54" i="3"/>
  <c r="D56" i="3" s="1"/>
  <c r="F32" i="2"/>
  <c r="E41" i="2"/>
  <c r="D50" i="2"/>
  <c r="D54" i="2"/>
  <c r="D56" i="2" s="1"/>
  <c r="F29" i="2"/>
  <c r="E30" i="2"/>
  <c r="F32" i="1"/>
  <c r="E41" i="1"/>
  <c r="F29" i="1"/>
  <c r="E30" i="1"/>
  <c r="E31" i="1"/>
  <c r="D50" i="1"/>
  <c r="D54" i="1"/>
  <c r="D56" i="1" s="1"/>
  <c r="C50" i="1"/>
  <c r="C54" i="1"/>
  <c r="C56" i="1" s="1"/>
  <c r="C44" i="3"/>
  <c r="C48" i="3" s="1"/>
  <c r="B8" i="3"/>
  <c r="B9" i="3" s="1"/>
  <c r="B47" i="3" s="1"/>
  <c r="B50" i="3" s="1"/>
  <c r="B8" i="2"/>
  <c r="B9" i="2" s="1"/>
  <c r="B47" i="2" s="1"/>
  <c r="B50" i="2" s="1"/>
  <c r="C44" i="2"/>
  <c r="C48" i="2" s="1"/>
  <c r="G32" i="3" l="1"/>
  <c r="F41" i="3"/>
  <c r="G29" i="3"/>
  <c r="F30" i="3"/>
  <c r="F31" i="3"/>
  <c r="F42" i="3" s="1"/>
  <c r="F44" i="3" s="1"/>
  <c r="F48" i="3" s="1"/>
  <c r="E54" i="3"/>
  <c r="E56" i="3" s="1"/>
  <c r="E50" i="3"/>
  <c r="G32" i="2"/>
  <c r="F41" i="2"/>
  <c r="G29" i="2"/>
  <c r="F30" i="2"/>
  <c r="F41" i="1"/>
  <c r="G32" i="1"/>
  <c r="G29" i="1"/>
  <c r="F30" i="1"/>
  <c r="F31" i="1"/>
  <c r="F42" i="1" s="1"/>
  <c r="F44" i="1" s="1"/>
  <c r="F48" i="1" s="1"/>
  <c r="C50" i="3"/>
  <c r="C54" i="3"/>
  <c r="C56" i="3" s="1"/>
  <c r="C50" i="2"/>
  <c r="C54" i="2"/>
  <c r="C56" i="2" s="1"/>
  <c r="E31" i="2"/>
  <c r="E42" i="2" s="1"/>
  <c r="E44" i="2" s="1"/>
  <c r="E48" i="2" s="1"/>
  <c r="E42" i="1"/>
  <c r="E44" i="1" s="1"/>
  <c r="E48" i="1" s="1"/>
  <c r="H32" i="3" l="1"/>
  <c r="H41" i="3" s="1"/>
  <c r="G41" i="3"/>
  <c r="H29" i="3"/>
  <c r="G30" i="3"/>
  <c r="G31" i="3"/>
  <c r="G42" i="3" s="1"/>
  <c r="G44" i="3" s="1"/>
  <c r="G48" i="3" s="1"/>
  <c r="F54" i="3"/>
  <c r="F56" i="3" s="1"/>
  <c r="F50" i="3"/>
  <c r="G41" i="2"/>
  <c r="H32" i="2"/>
  <c r="H41" i="2" s="1"/>
  <c r="G30" i="2"/>
  <c r="G31" i="2"/>
  <c r="G42" i="2" s="1"/>
  <c r="G44" i="2" s="1"/>
  <c r="G48" i="2" s="1"/>
  <c r="H29" i="2"/>
  <c r="H32" i="1"/>
  <c r="H41" i="1" s="1"/>
  <c r="G41" i="1"/>
  <c r="H29" i="1"/>
  <c r="G30" i="1"/>
  <c r="G31" i="1"/>
  <c r="G42" i="1" s="1"/>
  <c r="G44" i="1" s="1"/>
  <c r="G48" i="1" s="1"/>
  <c r="F50" i="1"/>
  <c r="F54" i="1"/>
  <c r="F56" i="1" s="1"/>
  <c r="E54" i="2"/>
  <c r="E56" i="2" s="1"/>
  <c r="E50" i="2"/>
  <c r="E54" i="1"/>
  <c r="E56" i="1" s="1"/>
  <c r="E50" i="1"/>
  <c r="F31" i="2"/>
  <c r="F42" i="2" s="1"/>
  <c r="F44" i="2" s="1"/>
  <c r="F48" i="2" s="1"/>
  <c r="H30" i="3" l="1"/>
  <c r="H31" i="3"/>
  <c r="H42" i="3" s="1"/>
  <c r="G54" i="3"/>
  <c r="G54" i="2"/>
  <c r="H30" i="2"/>
  <c r="H31" i="2"/>
  <c r="H42" i="2" s="1"/>
  <c r="H30" i="1"/>
  <c r="H31" i="1"/>
  <c r="H42" i="1" s="1"/>
  <c r="G54" i="1"/>
  <c r="F54" i="2"/>
  <c r="F56" i="2" s="1"/>
  <c r="F50" i="2"/>
  <c r="B14" i="3" l="1"/>
  <c r="G49" i="3" s="1"/>
  <c r="H44" i="3"/>
  <c r="H44" i="2"/>
  <c r="B14" i="2"/>
  <c r="G49" i="2" s="1"/>
  <c r="H44" i="1"/>
  <c r="B14" i="1"/>
  <c r="G49" i="1" s="1"/>
  <c r="G50" i="3" l="1"/>
  <c r="B51" i="3" s="1"/>
  <c r="G55" i="3"/>
  <c r="G56" i="3" s="1"/>
  <c r="B57" i="3" s="1"/>
  <c r="G50" i="2"/>
  <c r="B51" i="2" s="1"/>
  <c r="G55" i="2"/>
  <c r="G56" i="2" s="1"/>
  <c r="B57" i="2" s="1"/>
  <c r="G50" i="1"/>
  <c r="B51" i="1" s="1"/>
  <c r="G55" i="1"/>
  <c r="G56" i="1" s="1"/>
  <c r="B57" i="1" s="1"/>
</calcChain>
</file>

<file path=xl/sharedStrings.xml><?xml version="1.0" encoding="utf-8"?>
<sst xmlns="http://schemas.openxmlformats.org/spreadsheetml/2006/main" count="198" uniqueCount="54">
  <si>
    <t>Property Information</t>
  </si>
  <si>
    <t>Operating Assumptions</t>
  </si>
  <si>
    <t>Address</t>
  </si>
  <si>
    <t>525 South Church Street, Charlotte, NC, 28202</t>
  </si>
  <si>
    <t>Analyst(s) Names</t>
  </si>
  <si>
    <t>Kyle Murphy, Noah Rubin, Mitch Ashberg</t>
  </si>
  <si>
    <t>Rent roll</t>
  </si>
  <si>
    <t>Number of Units</t>
  </si>
  <si>
    <t>Monthly Rent per Unit</t>
  </si>
  <si>
    <t>Building GBA</t>
  </si>
  <si>
    <t>1-BR</t>
  </si>
  <si>
    <t>2-BR</t>
  </si>
  <si>
    <t>Purchase Information</t>
  </si>
  <si>
    <t>Going-in Cap Rate</t>
  </si>
  <si>
    <t>1st Year Projected NOI</t>
  </si>
  <si>
    <t>Estimated Purchase Price</t>
  </si>
  <si>
    <t>Sales Assumptions</t>
  </si>
  <si>
    <t>Holding Period (in years)</t>
  </si>
  <si>
    <t>Rent Growth Rate</t>
  </si>
  <si>
    <t>Going-out Cap Rate</t>
  </si>
  <si>
    <t>Vacancy</t>
  </si>
  <si>
    <t>Estimated Net Proceeds from Sale</t>
  </si>
  <si>
    <t>Use Year after Sale NOI</t>
  </si>
  <si>
    <t>Operating Expenses Growth</t>
  </si>
  <si>
    <t>Brokerage Fees</t>
  </si>
  <si>
    <t>Operating Expenses Assumptions</t>
  </si>
  <si>
    <t>Expense per square foot</t>
  </si>
  <si>
    <t>Annual Expenses</t>
  </si>
  <si>
    <t>Valuation Assumptions</t>
  </si>
  <si>
    <t>Mgmt</t>
  </si>
  <si>
    <t>Discount rate (target IRR)</t>
  </si>
  <si>
    <t>Admin</t>
  </si>
  <si>
    <t>Payroll</t>
  </si>
  <si>
    <t>Water</t>
  </si>
  <si>
    <t xml:space="preserve">Utilities </t>
  </si>
  <si>
    <t xml:space="preserve">Maint. </t>
  </si>
  <si>
    <t>Insurance</t>
  </si>
  <si>
    <t>Taxes</t>
  </si>
  <si>
    <t>CAPEX</t>
  </si>
  <si>
    <t>Pro-Forma</t>
  </si>
  <si>
    <t>Potential Gross Income</t>
  </si>
  <si>
    <t>Less: Vacancy</t>
  </si>
  <si>
    <t>Effective Gross Income (EGI):</t>
  </si>
  <si>
    <t>Total Operating Expenses</t>
  </si>
  <si>
    <t>Net Operating Income (NOI)</t>
  </si>
  <si>
    <t>Less: CAPEX</t>
  </si>
  <si>
    <t>Before Tax Unlevered Cash Flow:</t>
  </si>
  <si>
    <t>IRR Calculation</t>
  </si>
  <si>
    <t>Before Tax Unlevered Cash Flow</t>
  </si>
  <si>
    <t>Net Proceeds from Sale</t>
  </si>
  <si>
    <t>Total Cash Flow</t>
  </si>
  <si>
    <t>IRR</t>
  </si>
  <si>
    <t>DCF Valuation</t>
  </si>
  <si>
    <t>Calculate Present Value (use NPV function)
(this is the value and maximum you would pay for the property to hit the target 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</si>
</sst>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"/>
    <numFmt numFmtId="165" formatCode="0.0%"/>
    <numFmt numFmtId="166" formatCode="\$#,##0.00"/>
    <numFmt numFmtId="167" formatCode="_([$$-409]* #,##0.00_);_([$$-409]* \(#,##0.00\);_([$$-409]* \-??_);_(@_)"/>
  </numFmts>
  <fonts count="12" x14ac:knownFonts="1">
    <font>
      <sz val="11"/>
      <color theme="1"/>
      <name val="Aptos Narrow"/>
      <family val="2"/>
      <charset val="1"/>
    </font>
    <font>
      <b/>
      <sz val="11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1"/>
      <color rgb="FFF2F2F2"/>
      <name val="Aptos Narrow"/>
      <family val="2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1"/>
      <color theme="1"/>
      <name val="Aptos Narrow"/>
      <family val="2"/>
      <charset val="1"/>
    </font>
    <font>
      <b/>
      <sz val="12"/>
      <color rgb="FF000000"/>
      <name val="Arial"/>
      <charset val="1"/>
    </font>
    <font>
      <b/>
      <sz val="11"/>
      <name val="Arial"/>
      <family val="2"/>
    </font>
    <font>
      <sz val="11"/>
      <name val="Aptos Narrow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0070C0"/>
        <bgColor rgb="FF008080"/>
      </patternFill>
    </fill>
  </fills>
  <borders count="15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ck">
        <color auto="1"/>
      </bottom>
      <diagonal/>
    </border>
    <border>
      <left style="thin">
        <color rgb="FFCCCCCC"/>
      </left>
      <right style="thick">
        <color auto="1"/>
      </right>
      <top style="thin">
        <color rgb="FFCCCCCC"/>
      </top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4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0" fillId="0" borderId="2" xfId="0" applyBorder="1" applyAlignment="1">
      <alignment readingOrder="1"/>
    </xf>
    <xf numFmtId="0" fontId="0" fillId="0" borderId="4" xfId="0" applyBorder="1" applyAlignment="1">
      <alignment readingOrder="1"/>
    </xf>
    <xf numFmtId="0" fontId="0" fillId="2" borderId="5" xfId="0" applyFill="1" applyBorder="1" applyAlignment="1">
      <alignment readingOrder="1"/>
    </xf>
    <xf numFmtId="0" fontId="0" fillId="0" borderId="6" xfId="0" applyBorder="1" applyAlignment="1">
      <alignment readingOrder="1"/>
    </xf>
    <xf numFmtId="0" fontId="0" fillId="0" borderId="7" xfId="0" applyBorder="1" applyAlignment="1">
      <alignment readingOrder="1"/>
    </xf>
    <xf numFmtId="0" fontId="0" fillId="0" borderId="8" xfId="0" applyBorder="1" applyAlignment="1">
      <alignment readingOrder="1"/>
    </xf>
    <xf numFmtId="1" fontId="2" fillId="2" borderId="9" xfId="0" applyNumberFormat="1" applyFont="1" applyFill="1" applyBorder="1" applyAlignment="1">
      <alignment readingOrder="1"/>
    </xf>
    <xf numFmtId="0" fontId="2" fillId="0" borderId="6" xfId="0" applyFont="1" applyBorder="1" applyAlignment="1">
      <alignment readingOrder="1"/>
    </xf>
    <xf numFmtId="164" fontId="2" fillId="0" borderId="6" xfId="0" applyNumberFormat="1" applyFont="1" applyBorder="1" applyAlignment="1">
      <alignment readingOrder="1"/>
    </xf>
    <xf numFmtId="0" fontId="0" fillId="0" borderId="10" xfId="0" applyBorder="1" applyAlignment="1">
      <alignment readingOrder="1"/>
    </xf>
    <xf numFmtId="164" fontId="0" fillId="0" borderId="6" xfId="0" applyNumberFormat="1" applyBorder="1" applyAlignment="1">
      <alignment readingOrder="1"/>
    </xf>
    <xf numFmtId="10" fontId="2" fillId="2" borderId="5" xfId="0" applyNumberFormat="1" applyFont="1" applyFill="1" applyBorder="1" applyAlignment="1">
      <alignment readingOrder="1"/>
    </xf>
    <xf numFmtId="164" fontId="0" fillId="2" borderId="5" xfId="0" applyNumberFormat="1" applyFill="1" applyBorder="1" applyAlignment="1">
      <alignment readingOrder="1"/>
    </xf>
    <xf numFmtId="164" fontId="3" fillId="3" borderId="9" xfId="0" applyNumberFormat="1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165" fontId="2" fillId="2" borderId="6" xfId="0" applyNumberFormat="1" applyFont="1" applyFill="1" applyBorder="1" applyAlignment="1">
      <alignment readingOrder="1"/>
    </xf>
    <xf numFmtId="165" fontId="2" fillId="2" borderId="7" xfId="0" applyNumberFormat="1" applyFont="1" applyFill="1" applyBorder="1" applyAlignment="1">
      <alignment readingOrder="1"/>
    </xf>
    <xf numFmtId="10" fontId="0" fillId="2" borderId="5" xfId="0" applyNumberFormat="1" applyFill="1" applyBorder="1" applyAlignment="1">
      <alignment readingOrder="1"/>
    </xf>
    <xf numFmtId="9" fontId="2" fillId="0" borderId="9" xfId="0" applyNumberFormat="1" applyFont="1" applyBorder="1" applyAlignment="1">
      <alignment readingOrder="1"/>
    </xf>
    <xf numFmtId="0" fontId="1" fillId="0" borderId="6" xfId="0" applyFont="1" applyBorder="1" applyAlignment="1">
      <alignment wrapText="1" readingOrder="1"/>
    </xf>
    <xf numFmtId="0" fontId="1" fillId="0" borderId="4" xfId="0" applyFont="1" applyBorder="1" applyAlignment="1">
      <alignment readingOrder="1"/>
    </xf>
    <xf numFmtId="166" fontId="2" fillId="2" borderId="6" xfId="0" applyNumberFormat="1" applyFont="1" applyFill="1" applyBorder="1" applyAlignment="1">
      <alignment readingOrder="1"/>
    </xf>
    <xf numFmtId="164" fontId="0" fillId="2" borderId="6" xfId="0" applyNumberFormat="1" applyFill="1" applyBorder="1" applyAlignment="1">
      <alignment readingOrder="1"/>
    </xf>
    <xf numFmtId="9" fontId="2" fillId="0" borderId="6" xfId="0" applyNumberFormat="1" applyFont="1" applyBorder="1" applyAlignment="1">
      <alignment readingOrder="1"/>
    </xf>
    <xf numFmtId="166" fontId="0" fillId="2" borderId="6" xfId="0" applyNumberFormat="1" applyFill="1" applyBorder="1" applyAlignment="1">
      <alignment readingOrder="1"/>
    </xf>
    <xf numFmtId="167" fontId="0" fillId="0" borderId="6" xfId="0" applyNumberFormat="1" applyBorder="1" applyAlignment="1">
      <alignment readingOrder="1"/>
    </xf>
    <xf numFmtId="0" fontId="4" fillId="4" borderId="4" xfId="0" applyFont="1" applyFill="1" applyBorder="1" applyAlignment="1">
      <alignment readingOrder="1"/>
    </xf>
    <xf numFmtId="0" fontId="4" fillId="4" borderId="6" xfId="0" applyFont="1" applyFill="1" applyBorder="1" applyAlignment="1">
      <alignment readingOrder="1"/>
    </xf>
    <xf numFmtId="0" fontId="5" fillId="0" borderId="4" xfId="0" applyFont="1" applyBorder="1" applyAlignment="1">
      <alignment readingOrder="1"/>
    </xf>
    <xf numFmtId="0" fontId="6" fillId="0" borderId="4" xfId="0" applyFont="1" applyBorder="1" applyAlignment="1">
      <alignment readingOrder="1"/>
    </xf>
    <xf numFmtId="164" fontId="7" fillId="0" borderId="6" xfId="0" applyNumberFormat="1" applyFont="1" applyBorder="1" applyAlignment="1">
      <alignment readingOrder="1"/>
    </xf>
    <xf numFmtId="10" fontId="8" fillId="3" borderId="6" xfId="0" applyNumberFormat="1" applyFont="1" applyFill="1" applyBorder="1" applyAlignment="1">
      <alignment readingOrder="1"/>
    </xf>
    <xf numFmtId="0" fontId="5" fillId="0" borderId="4" xfId="0" applyFont="1" applyBorder="1" applyAlignment="1">
      <alignment vertical="center" wrapText="1"/>
    </xf>
    <xf numFmtId="164" fontId="8" fillId="3" borderId="6" xfId="0" applyNumberFormat="1" applyFont="1" applyFill="1" applyBorder="1" applyAlignment="1">
      <alignment readingOrder="1"/>
    </xf>
    <xf numFmtId="0" fontId="5" fillId="0" borderId="12" xfId="0" applyFont="1" applyBorder="1" applyAlignment="1">
      <alignment readingOrder="1"/>
    </xf>
    <xf numFmtId="0" fontId="0" fillId="0" borderId="13" xfId="0" applyBorder="1" applyAlignment="1">
      <alignment readingOrder="1"/>
    </xf>
    <xf numFmtId="0" fontId="0" fillId="0" borderId="14" xfId="0" applyBorder="1" applyAlignment="1">
      <alignment readingOrder="1"/>
    </xf>
    <xf numFmtId="0" fontId="9" fillId="0" borderId="11" xfId="0" applyFont="1" applyBorder="1" applyAlignment="1">
      <alignment readingOrder="1"/>
    </xf>
    <xf numFmtId="0" fontId="10" fillId="0" borderId="6" xfId="0" applyFont="1" applyBorder="1" applyAlignment="1">
      <alignment readingOrder="1"/>
    </xf>
    <xf numFmtId="0" fontId="10" fillId="0" borderId="4" xfId="0" applyFont="1" applyBorder="1" applyAlignment="1">
      <alignment readingOrder="1"/>
    </xf>
    <xf numFmtId="0" fontId="11" fillId="0" borderId="5" xfId="0" applyFont="1" applyBorder="1" applyAlignment="1">
      <alignment readingOrder="1"/>
    </xf>
    <xf numFmtId="10" fontId="10" fillId="2" borderId="5" xfId="0" applyNumberFormat="1" applyFont="1" applyFill="1" applyBorder="1" applyAlignment="1">
      <alignment readingOrder="1"/>
    </xf>
    <xf numFmtId="164" fontId="10" fillId="2" borderId="5" xfId="0" applyNumberFormat="1" applyFont="1" applyFill="1" applyBorder="1" applyAlignment="1">
      <alignment readingOrder="1"/>
    </xf>
    <xf numFmtId="0" fontId="10" fillId="0" borderId="8" xfId="0" applyFont="1" applyBorder="1" applyAlignment="1">
      <alignment readingOrder="1"/>
    </xf>
    <xf numFmtId="9" fontId="11" fillId="0" borderId="9" xfId="0" applyNumberFormat="1" applyFont="1" applyBorder="1" applyAlignment="1">
      <alignment readingOrder="1"/>
    </xf>
    <xf numFmtId="0" fontId="11" fillId="0" borderId="6" xfId="0" applyFont="1" applyBorder="1" applyAlignment="1">
      <alignment readingOrder="1"/>
    </xf>
    <xf numFmtId="164" fontId="11" fillId="0" borderId="6" xfId="0" applyNumberFormat="1" applyFont="1" applyBorder="1" applyAlignment="1">
      <alignment readingOrder="1"/>
    </xf>
    <xf numFmtId="0" fontId="11" fillId="0" borderId="7" xfId="0" applyFont="1" applyBorder="1" applyAlignment="1">
      <alignment readingOrder="1"/>
    </xf>
    <xf numFmtId="165" fontId="11" fillId="2" borderId="6" xfId="0" applyNumberFormat="1" applyFont="1" applyFill="1" applyBorder="1" applyAlignment="1">
      <alignment readingOrder="1"/>
    </xf>
    <xf numFmtId="165" fontId="11" fillId="2" borderId="7" xfId="0" applyNumberFormat="1" applyFont="1" applyFill="1" applyBorder="1" applyAlignment="1">
      <alignment readingOrder="1"/>
    </xf>
    <xf numFmtId="166" fontId="11" fillId="2" borderId="6" xfId="0" applyNumberFormat="1" applyFont="1" applyFill="1" applyBorder="1" applyAlignment="1">
      <alignment readingOrder="1"/>
    </xf>
    <xf numFmtId="9" fontId="11" fillId="0" borderId="6" xfId="0" applyNumberFormat="1" applyFont="1" applyBorder="1" applyAlignment="1">
      <alignment readingOrder="1"/>
    </xf>
    <xf numFmtId="166" fontId="10" fillId="2" borderId="6" xfId="0" applyNumberFormat="1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opLeftCell="C7" zoomScale="78" zoomScaleNormal="47" workbookViewId="0">
      <selection activeCell="B18" sqref="B18"/>
    </sheetView>
  </sheetViews>
  <sheetFormatPr defaultColWidth="8.5703125" defaultRowHeight="15" x14ac:dyDescent="0.25"/>
  <cols>
    <col min="1" max="1" width="32" customWidth="1"/>
    <col min="2" max="2" width="16" customWidth="1"/>
    <col min="3" max="4" width="14" customWidth="1"/>
    <col min="5" max="5" width="26" customWidth="1"/>
    <col min="6" max="6" width="14" customWidth="1"/>
    <col min="7" max="7" width="16" customWidth="1"/>
    <col min="8" max="11" width="14" customWidth="1"/>
  </cols>
  <sheetData>
    <row r="1" spans="1:11" ht="14.25" customHeight="1" x14ac:dyDescent="0.25">
      <c r="A1" s="4" t="s">
        <v>0</v>
      </c>
      <c r="B1" s="4"/>
      <c r="C1" s="5"/>
      <c r="D1" s="5"/>
      <c r="E1" s="3" t="s">
        <v>1</v>
      </c>
      <c r="F1" s="3"/>
      <c r="G1" s="3"/>
      <c r="H1" s="3"/>
      <c r="I1" s="3"/>
      <c r="J1" s="3"/>
      <c r="K1" s="3"/>
    </row>
    <row r="2" spans="1:11" ht="14.25" customHeight="1" x14ac:dyDescent="0.25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8"/>
      <c r="K2" s="9"/>
    </row>
    <row r="3" spans="1:11" ht="14.25" customHeight="1" x14ac:dyDescent="0.25">
      <c r="A3" s="6" t="s">
        <v>4</v>
      </c>
      <c r="B3" s="7" t="s">
        <v>5</v>
      </c>
      <c r="C3" s="8"/>
      <c r="D3" s="8"/>
      <c r="E3" s="8" t="s">
        <v>6</v>
      </c>
      <c r="F3" s="8" t="s">
        <v>7</v>
      </c>
      <c r="G3" s="8" t="s">
        <v>8</v>
      </c>
      <c r="H3" s="8"/>
      <c r="I3" s="8"/>
      <c r="J3" s="8"/>
      <c r="K3" s="9"/>
    </row>
    <row r="4" spans="1:11" ht="14.25" customHeight="1" x14ac:dyDescent="0.25">
      <c r="A4" s="10" t="s">
        <v>9</v>
      </c>
      <c r="B4" s="11">
        <v>314400</v>
      </c>
      <c r="C4" s="8"/>
      <c r="D4" s="8"/>
      <c r="E4" s="8" t="s">
        <v>10</v>
      </c>
      <c r="F4" s="51">
        <v>317</v>
      </c>
      <c r="G4" s="52">
        <v>2382</v>
      </c>
      <c r="H4" s="8"/>
      <c r="I4" s="8"/>
      <c r="J4" s="8"/>
      <c r="K4" s="9"/>
    </row>
    <row r="5" spans="1:11" ht="14.25" customHeight="1" x14ac:dyDescent="0.25">
      <c r="A5" s="10"/>
      <c r="B5" s="14"/>
      <c r="C5" s="8"/>
      <c r="D5" s="8"/>
      <c r="E5" s="8" t="s">
        <v>11</v>
      </c>
      <c r="F5" s="51">
        <v>77</v>
      </c>
      <c r="G5" s="52">
        <v>3796</v>
      </c>
      <c r="H5" s="8"/>
      <c r="I5" s="8"/>
      <c r="J5" s="8"/>
      <c r="K5" s="9"/>
    </row>
    <row r="6" spans="1:11" ht="14.25" customHeight="1" x14ac:dyDescent="0.25">
      <c r="A6" s="2" t="s">
        <v>12</v>
      </c>
      <c r="B6" s="2"/>
      <c r="C6" s="8"/>
      <c r="D6" s="8"/>
      <c r="E6" s="8"/>
      <c r="F6" s="8"/>
      <c r="G6" s="15">
        <f>SUMPRODUCT(F4:F5,G4:G5)*12</f>
        <v>12568632</v>
      </c>
      <c r="H6" s="8"/>
      <c r="I6" s="8"/>
      <c r="J6" s="8"/>
      <c r="K6" s="9"/>
    </row>
    <row r="7" spans="1:11" ht="14.25" customHeight="1" x14ac:dyDescent="0.25">
      <c r="A7" s="6" t="s">
        <v>13</v>
      </c>
      <c r="B7" s="16">
        <v>5.3499999999999999E-2</v>
      </c>
      <c r="C7" s="8"/>
      <c r="D7" s="8"/>
      <c r="E7" s="8"/>
      <c r="F7" s="8"/>
      <c r="G7" s="8"/>
      <c r="H7" s="8"/>
      <c r="I7" s="8"/>
      <c r="J7" s="8"/>
      <c r="K7" s="9"/>
    </row>
    <row r="8" spans="1:11" ht="14.25" customHeight="1" x14ac:dyDescent="0.25">
      <c r="A8" s="6" t="s">
        <v>14</v>
      </c>
      <c r="B8" s="17">
        <f>C42</f>
        <v>10165023.816</v>
      </c>
      <c r="C8" s="8"/>
      <c r="D8" s="8"/>
      <c r="E8" s="8"/>
      <c r="F8" s="8"/>
      <c r="G8" s="8"/>
      <c r="H8" s="8"/>
      <c r="I8" s="8"/>
      <c r="J8" s="8"/>
      <c r="K8" s="9"/>
    </row>
    <row r="9" spans="1:11" ht="14.25" customHeight="1" x14ac:dyDescent="0.25">
      <c r="A9" s="10" t="s">
        <v>15</v>
      </c>
      <c r="B9" s="18">
        <f>B8/B7</f>
        <v>190000445.15887851</v>
      </c>
      <c r="C9" s="8"/>
      <c r="D9" s="8"/>
      <c r="E9" s="8"/>
      <c r="F9" s="8"/>
      <c r="G9" s="8"/>
      <c r="H9" s="8"/>
      <c r="I9" s="8"/>
      <c r="J9" s="8"/>
      <c r="K9" s="9"/>
    </row>
    <row r="10" spans="1:11" ht="14.25" customHeight="1" x14ac:dyDescent="0.25">
      <c r="A10" s="10"/>
      <c r="B10" s="14"/>
      <c r="C10" s="8"/>
      <c r="D10" s="8"/>
      <c r="E10" s="8"/>
      <c r="F10" s="8"/>
      <c r="G10" s="8"/>
      <c r="H10" s="8"/>
      <c r="I10" s="8"/>
      <c r="J10" s="8"/>
      <c r="K10" s="9"/>
    </row>
    <row r="11" spans="1:11" ht="14.25" customHeight="1" x14ac:dyDescent="0.25">
      <c r="A11" s="43" t="s">
        <v>16</v>
      </c>
      <c r="B11" s="43"/>
      <c r="C11" s="44"/>
      <c r="D11" s="8"/>
      <c r="E11" s="8"/>
      <c r="F11" s="51">
        <v>1</v>
      </c>
      <c r="G11" s="51">
        <v>2</v>
      </c>
      <c r="H11" s="51">
        <v>3</v>
      </c>
      <c r="I11" s="51">
        <v>4</v>
      </c>
      <c r="J11" s="51">
        <v>5</v>
      </c>
      <c r="K11" s="53">
        <v>6</v>
      </c>
    </row>
    <row r="12" spans="1:11" ht="14.25" customHeight="1" x14ac:dyDescent="0.25">
      <c r="A12" s="45" t="s">
        <v>17</v>
      </c>
      <c r="B12" s="46">
        <v>5</v>
      </c>
      <c r="C12" s="44"/>
      <c r="D12" s="8"/>
      <c r="E12" s="8" t="s">
        <v>18</v>
      </c>
      <c r="F12" s="54">
        <v>2.5000000000000001E-2</v>
      </c>
      <c r="G12" s="54">
        <v>2.35E-2</v>
      </c>
      <c r="H12" s="54">
        <v>2.1999999999999999E-2</v>
      </c>
      <c r="I12" s="54">
        <v>2.1499999999999998E-2</v>
      </c>
      <c r="J12" s="54">
        <v>2.0500000000000001E-2</v>
      </c>
      <c r="K12" s="55">
        <v>0.02</v>
      </c>
    </row>
    <row r="13" spans="1:11" ht="14.25" customHeight="1" x14ac:dyDescent="0.25">
      <c r="A13" s="45" t="s">
        <v>19</v>
      </c>
      <c r="B13" s="47">
        <f>B7+0.5%</f>
        <v>5.8499999999999996E-2</v>
      </c>
      <c r="C13" s="44"/>
      <c r="D13" s="8"/>
      <c r="E13" s="8" t="s">
        <v>20</v>
      </c>
      <c r="F13" s="54">
        <v>0.08</v>
      </c>
      <c r="G13" s="54">
        <v>7.4999999999999997E-2</v>
      </c>
      <c r="H13" s="54">
        <v>7.1999999999999995E-2</v>
      </c>
      <c r="I13" s="54">
        <v>6.9000000000000006E-2</v>
      </c>
      <c r="J13" s="54">
        <v>6.7000000000000004E-2</v>
      </c>
      <c r="K13" s="55">
        <v>6.5000000000000002E-2</v>
      </c>
    </row>
    <row r="14" spans="1:11" ht="14.25" customHeight="1" x14ac:dyDescent="0.25">
      <c r="A14" s="45" t="s">
        <v>21</v>
      </c>
      <c r="B14" s="48">
        <f>(H42/B13)*(1-B15)</f>
        <v>183537485.65165249</v>
      </c>
      <c r="C14" s="44" t="s">
        <v>22</v>
      </c>
      <c r="D14" s="8"/>
      <c r="E14" s="8" t="s">
        <v>23</v>
      </c>
      <c r="F14" s="54">
        <v>0.04</v>
      </c>
      <c r="G14" s="54">
        <v>0.04</v>
      </c>
      <c r="H14" s="54">
        <v>0.03</v>
      </c>
      <c r="I14" s="54">
        <v>0.03</v>
      </c>
      <c r="J14" s="54">
        <v>0.03</v>
      </c>
      <c r="K14" s="54">
        <v>0.03</v>
      </c>
    </row>
    <row r="15" spans="1:11" ht="14.25" customHeight="1" x14ac:dyDescent="0.25">
      <c r="A15" s="49" t="s">
        <v>24</v>
      </c>
      <c r="B15" s="50">
        <v>0.06</v>
      </c>
      <c r="C15" s="44"/>
      <c r="D15" s="8"/>
      <c r="E15" s="8"/>
      <c r="F15" s="8"/>
      <c r="G15" s="8"/>
      <c r="H15" s="8"/>
      <c r="I15" s="8"/>
      <c r="J15" s="8"/>
      <c r="K15" s="9"/>
    </row>
    <row r="16" spans="1:11" ht="28.5" customHeight="1" x14ac:dyDescent="0.25">
      <c r="A16" s="6"/>
      <c r="B16" s="8"/>
      <c r="C16" s="8"/>
      <c r="D16" s="8"/>
      <c r="E16" s="25" t="s">
        <v>25</v>
      </c>
      <c r="F16" s="51" t="s">
        <v>26</v>
      </c>
      <c r="G16" s="51" t="s">
        <v>27</v>
      </c>
      <c r="H16" s="8"/>
      <c r="I16" s="8"/>
      <c r="J16" s="8"/>
      <c r="K16" s="9"/>
    </row>
    <row r="17" spans="1:11" ht="14.25" customHeight="1" x14ac:dyDescent="0.25">
      <c r="A17" s="1" t="s">
        <v>28</v>
      </c>
      <c r="B17" s="1"/>
      <c r="C17" s="8"/>
      <c r="D17" s="8"/>
      <c r="E17" s="8" t="s">
        <v>29</v>
      </c>
      <c r="F17" s="56">
        <v>0.43</v>
      </c>
      <c r="G17" s="28">
        <f t="shared" ref="G17:G24" si="0">$B$4*F17</f>
        <v>135192</v>
      </c>
      <c r="H17" s="8"/>
      <c r="I17" s="8"/>
      <c r="J17" s="8"/>
      <c r="K17" s="9"/>
    </row>
    <row r="18" spans="1:11" ht="14.25" customHeight="1" x14ac:dyDescent="0.25">
      <c r="A18" s="6" t="s">
        <v>30</v>
      </c>
      <c r="B18" s="57">
        <v>0.08</v>
      </c>
      <c r="C18" s="8"/>
      <c r="D18" s="8"/>
      <c r="E18" s="8" t="s">
        <v>31</v>
      </c>
      <c r="F18" s="56">
        <v>0.52</v>
      </c>
      <c r="G18" s="28">
        <f t="shared" si="0"/>
        <v>163488</v>
      </c>
      <c r="H18" s="8"/>
      <c r="I18" s="8"/>
      <c r="J18" s="8"/>
      <c r="K18" s="9"/>
    </row>
    <row r="19" spans="1:11" ht="14.25" customHeight="1" x14ac:dyDescent="0.25">
      <c r="A19" s="6"/>
      <c r="B19" s="8"/>
      <c r="C19" s="8"/>
      <c r="D19" s="8"/>
      <c r="E19" s="8" t="s">
        <v>32</v>
      </c>
      <c r="F19" s="56">
        <v>0.63</v>
      </c>
      <c r="G19" s="28">
        <f t="shared" si="0"/>
        <v>198072</v>
      </c>
      <c r="H19" s="8"/>
      <c r="I19" s="8"/>
      <c r="J19" s="8"/>
      <c r="K19" s="9"/>
    </row>
    <row r="20" spans="1:11" ht="14.25" customHeight="1" x14ac:dyDescent="0.25">
      <c r="A20" s="6"/>
      <c r="B20" s="8"/>
      <c r="C20" s="8"/>
      <c r="D20" s="8"/>
      <c r="E20" s="8" t="s">
        <v>33</v>
      </c>
      <c r="F20" s="56">
        <v>0.12</v>
      </c>
      <c r="G20" s="28">
        <f t="shared" si="0"/>
        <v>37728</v>
      </c>
      <c r="H20" s="8"/>
      <c r="I20" s="8"/>
      <c r="J20" s="8"/>
      <c r="K20" s="9"/>
    </row>
    <row r="21" spans="1:11" ht="14.25" customHeight="1" x14ac:dyDescent="0.25">
      <c r="A21" s="6"/>
      <c r="B21" s="8"/>
      <c r="C21" s="8"/>
      <c r="D21" s="8"/>
      <c r="E21" s="8" t="s">
        <v>34</v>
      </c>
      <c r="F21" s="56">
        <v>0.49</v>
      </c>
      <c r="G21" s="28">
        <f t="shared" si="0"/>
        <v>154056</v>
      </c>
      <c r="H21" s="8"/>
      <c r="I21" s="8"/>
      <c r="J21" s="8"/>
      <c r="K21" s="9"/>
    </row>
    <row r="22" spans="1:11" ht="14.25" customHeight="1" x14ac:dyDescent="0.25">
      <c r="A22" s="6"/>
      <c r="B22" s="8"/>
      <c r="C22" s="8"/>
      <c r="D22" s="8"/>
      <c r="E22" s="8" t="s">
        <v>35</v>
      </c>
      <c r="F22" s="56">
        <v>1</v>
      </c>
      <c r="G22" s="28">
        <f t="shared" si="0"/>
        <v>314400</v>
      </c>
      <c r="H22" s="8"/>
      <c r="I22" s="8"/>
      <c r="J22" s="8"/>
      <c r="K22" s="9"/>
    </row>
    <row r="23" spans="1:11" ht="14.25" customHeight="1" x14ac:dyDescent="0.25">
      <c r="A23" s="6"/>
      <c r="B23" s="8"/>
      <c r="C23" s="8"/>
      <c r="D23" s="8"/>
      <c r="E23" s="8" t="s">
        <v>36</v>
      </c>
      <c r="F23" s="56">
        <v>0.18</v>
      </c>
      <c r="G23" s="28">
        <f t="shared" si="0"/>
        <v>56592</v>
      </c>
      <c r="H23" s="8"/>
      <c r="I23" s="8"/>
      <c r="J23" s="8"/>
      <c r="K23" s="9"/>
    </row>
    <row r="24" spans="1:11" ht="14.25" customHeight="1" x14ac:dyDescent="0.25">
      <c r="A24" s="6"/>
      <c r="B24" s="8"/>
      <c r="C24" s="8"/>
      <c r="D24" s="8"/>
      <c r="E24" s="8" t="s">
        <v>37</v>
      </c>
      <c r="F24" s="56">
        <v>1.79</v>
      </c>
      <c r="G24" s="28">
        <f t="shared" si="0"/>
        <v>562776</v>
      </c>
      <c r="H24" s="8"/>
      <c r="I24" s="8"/>
      <c r="J24" s="8"/>
      <c r="K24" s="9"/>
    </row>
    <row r="25" spans="1:11" ht="14.25" customHeight="1" x14ac:dyDescent="0.25">
      <c r="A25" s="6"/>
      <c r="B25" s="8"/>
      <c r="C25" s="8"/>
      <c r="D25" s="8"/>
      <c r="E25" s="8"/>
      <c r="F25" s="58"/>
      <c r="G25" s="28"/>
      <c r="H25" s="8"/>
      <c r="I25" s="8"/>
      <c r="J25" s="8"/>
      <c r="K25" s="9"/>
    </row>
    <row r="26" spans="1:11" ht="14.25" customHeight="1" x14ac:dyDescent="0.25">
      <c r="A26" s="6"/>
      <c r="B26" s="8"/>
      <c r="C26" s="8"/>
      <c r="D26" s="8"/>
      <c r="E26" s="8" t="s">
        <v>38</v>
      </c>
      <c r="F26" s="56">
        <v>1.17</v>
      </c>
      <c r="G26" s="28">
        <f>$B$4*F26</f>
        <v>367848</v>
      </c>
      <c r="H26" s="8"/>
      <c r="I26" s="8"/>
      <c r="J26" s="8"/>
      <c r="K26" s="9"/>
    </row>
    <row r="27" spans="1:11" ht="14.25" customHeight="1" x14ac:dyDescent="0.25">
      <c r="A27" s="6"/>
      <c r="B27" s="8"/>
      <c r="C27" s="8"/>
      <c r="D27" s="8"/>
      <c r="E27" s="8"/>
      <c r="F27" s="31"/>
      <c r="G27" s="8"/>
      <c r="H27" s="8"/>
      <c r="I27" s="8"/>
      <c r="J27" s="8"/>
      <c r="K27" s="9"/>
    </row>
    <row r="28" spans="1:11" ht="14.25" customHeight="1" x14ac:dyDescent="0.25">
      <c r="A28" s="32" t="s">
        <v>39</v>
      </c>
      <c r="B28" s="33">
        <v>0</v>
      </c>
      <c r="C28" s="33">
        <v>1</v>
      </c>
      <c r="D28" s="33">
        <v>2</v>
      </c>
      <c r="E28" s="33">
        <v>3</v>
      </c>
      <c r="F28" s="33">
        <v>4</v>
      </c>
      <c r="G28" s="33">
        <v>5</v>
      </c>
      <c r="H28" s="33">
        <v>6</v>
      </c>
      <c r="I28" s="8"/>
      <c r="J28" s="8"/>
      <c r="K28" s="9"/>
    </row>
    <row r="29" spans="1:11" ht="15" customHeight="1" x14ac:dyDescent="0.25">
      <c r="A29" s="34" t="s">
        <v>40</v>
      </c>
      <c r="B29" s="8"/>
      <c r="C29" s="15">
        <f>G6*(1+F12)</f>
        <v>12882847.799999999</v>
      </c>
      <c r="D29" s="15">
        <f>C29*(1+G12)</f>
        <v>13185594.723300001</v>
      </c>
      <c r="E29" s="15">
        <f>D29*(1+H$12)</f>
        <v>13475677.8072126</v>
      </c>
      <c r="F29" s="15">
        <f>E29*(1+I$12)</f>
        <v>13765404.880067673</v>
      </c>
      <c r="G29" s="15">
        <f>F29*(1+J$12)</f>
        <v>14047595.680109059</v>
      </c>
      <c r="H29" s="15">
        <f>G29*(1+K$12)</f>
        <v>14328547.59371124</v>
      </c>
      <c r="I29" s="8"/>
      <c r="J29" s="8"/>
      <c r="K29" s="9"/>
    </row>
    <row r="30" spans="1:11" ht="15" customHeight="1" x14ac:dyDescent="0.25">
      <c r="A30" s="35" t="s">
        <v>41</v>
      </c>
      <c r="B30" s="8"/>
      <c r="C30" s="15">
        <f t="shared" ref="C30:H30" si="1">-C29*F13</f>
        <v>-1030627.8239999999</v>
      </c>
      <c r="D30" s="15">
        <f t="shared" si="1"/>
        <v>-988919.60424749996</v>
      </c>
      <c r="E30" s="15">
        <f t="shared" si="1"/>
        <v>-970248.8021193071</v>
      </c>
      <c r="F30" s="15">
        <f t="shared" si="1"/>
        <v>-949812.93672466953</v>
      </c>
      <c r="G30" s="15">
        <f t="shared" si="1"/>
        <v>-941188.91056730703</v>
      </c>
      <c r="H30" s="15">
        <f t="shared" si="1"/>
        <v>-931355.59359123069</v>
      </c>
      <c r="I30" s="8"/>
      <c r="J30" s="8"/>
      <c r="K30" s="9"/>
    </row>
    <row r="31" spans="1:11" ht="15" customHeight="1" x14ac:dyDescent="0.25">
      <c r="A31" s="34" t="s">
        <v>42</v>
      </c>
      <c r="B31" s="8"/>
      <c r="C31" s="36">
        <f t="shared" ref="C31:H31" si="2">C29+C30</f>
        <v>11852219.976</v>
      </c>
      <c r="D31" s="36">
        <f t="shared" si="2"/>
        <v>12196675.119052501</v>
      </c>
      <c r="E31" s="36">
        <f t="shared" si="2"/>
        <v>12505429.005093293</v>
      </c>
      <c r="F31" s="36">
        <f t="shared" si="2"/>
        <v>12815591.943343002</v>
      </c>
      <c r="G31" s="36">
        <f t="shared" si="2"/>
        <v>13106406.769541752</v>
      </c>
      <c r="H31" s="36">
        <f t="shared" si="2"/>
        <v>13397192.00012001</v>
      </c>
      <c r="I31" s="8"/>
      <c r="J31" s="8"/>
      <c r="K31" s="9"/>
    </row>
    <row r="32" spans="1:11" ht="14.25" customHeight="1" x14ac:dyDescent="0.25">
      <c r="A32" s="8" t="s">
        <v>29</v>
      </c>
      <c r="B32" s="8"/>
      <c r="C32" s="15">
        <f t="shared" ref="C32:C39" si="3">-$G17*(1+F$14)</f>
        <v>-140599.67999999999</v>
      </c>
      <c r="D32" s="15">
        <f t="shared" ref="D32:H39" si="4">C32*(1+G$14)</f>
        <v>-146223.6672</v>
      </c>
      <c r="E32" s="15">
        <f t="shared" si="4"/>
        <v>-150610.37721599999</v>
      </c>
      <c r="F32" s="15">
        <f t="shared" si="4"/>
        <v>-155128.68853248001</v>
      </c>
      <c r="G32" s="15">
        <f t="shared" si="4"/>
        <v>-159782.5491884544</v>
      </c>
      <c r="H32" s="15">
        <f t="shared" si="4"/>
        <v>-164576.02566410805</v>
      </c>
      <c r="I32" s="8"/>
      <c r="J32" s="8"/>
      <c r="K32" s="9"/>
    </row>
    <row r="33" spans="1:11" ht="14.25" customHeight="1" x14ac:dyDescent="0.25">
      <c r="A33" s="8" t="s">
        <v>31</v>
      </c>
      <c r="B33" s="8"/>
      <c r="C33" s="15">
        <f t="shared" si="3"/>
        <v>-170027.52000000002</v>
      </c>
      <c r="D33" s="15">
        <f t="shared" si="4"/>
        <v>-176828.62080000003</v>
      </c>
      <c r="E33" s="15">
        <f t="shared" si="4"/>
        <v>-182133.47942400005</v>
      </c>
      <c r="F33" s="15">
        <f t="shared" si="4"/>
        <v>-187597.48380672006</v>
      </c>
      <c r="G33" s="15">
        <f t="shared" si="4"/>
        <v>-193225.40832092168</v>
      </c>
      <c r="H33" s="15">
        <f t="shared" si="4"/>
        <v>-199022.17057054932</v>
      </c>
      <c r="I33" s="8"/>
      <c r="J33" s="8"/>
      <c r="K33" s="9"/>
    </row>
    <row r="34" spans="1:11" ht="14.25" customHeight="1" x14ac:dyDescent="0.25">
      <c r="A34" s="8" t="s">
        <v>32</v>
      </c>
      <c r="B34" s="8"/>
      <c r="C34" s="15">
        <f t="shared" si="3"/>
        <v>-205994.88</v>
      </c>
      <c r="D34" s="15">
        <f t="shared" si="4"/>
        <v>-214234.6752</v>
      </c>
      <c r="E34" s="15">
        <f t="shared" si="4"/>
        <v>-220661.71545600001</v>
      </c>
      <c r="F34" s="15">
        <f t="shared" si="4"/>
        <v>-227281.56691968002</v>
      </c>
      <c r="G34" s="15">
        <f t="shared" si="4"/>
        <v>-234100.01392727043</v>
      </c>
      <c r="H34" s="15">
        <f t="shared" si="4"/>
        <v>-241123.01434508854</v>
      </c>
      <c r="I34" s="8"/>
      <c r="J34" s="8"/>
      <c r="K34" s="9"/>
    </row>
    <row r="35" spans="1:11" ht="14.25" customHeight="1" x14ac:dyDescent="0.25">
      <c r="A35" s="8" t="s">
        <v>33</v>
      </c>
      <c r="B35" s="8"/>
      <c r="C35" s="15">
        <f t="shared" si="3"/>
        <v>-39237.120000000003</v>
      </c>
      <c r="D35" s="15">
        <f t="shared" si="4"/>
        <v>-40806.604800000001</v>
      </c>
      <c r="E35" s="15">
        <f t="shared" si="4"/>
        <v>-42030.802944000003</v>
      </c>
      <c r="F35" s="15">
        <f t="shared" si="4"/>
        <v>-43291.727032320006</v>
      </c>
      <c r="G35" s="15">
        <f t="shared" si="4"/>
        <v>-44590.478843289609</v>
      </c>
      <c r="H35" s="15">
        <f t="shared" si="4"/>
        <v>-45928.193208588302</v>
      </c>
      <c r="I35" s="8"/>
      <c r="J35" s="8"/>
      <c r="K35" s="9"/>
    </row>
    <row r="36" spans="1:11" ht="14.25" customHeight="1" x14ac:dyDescent="0.25">
      <c r="A36" s="8" t="s">
        <v>34</v>
      </c>
      <c r="B36" s="8"/>
      <c r="C36" s="15">
        <f t="shared" si="3"/>
        <v>-160218.24000000002</v>
      </c>
      <c r="D36" s="15">
        <f t="shared" si="4"/>
        <v>-166626.96960000004</v>
      </c>
      <c r="E36" s="15">
        <f t="shared" si="4"/>
        <v>-171625.77868800005</v>
      </c>
      <c r="F36" s="15">
        <f t="shared" si="4"/>
        <v>-176774.55204864006</v>
      </c>
      <c r="G36" s="15">
        <f t="shared" si="4"/>
        <v>-182077.78861009926</v>
      </c>
      <c r="H36" s="15">
        <f t="shared" si="4"/>
        <v>-187540.12226840225</v>
      </c>
      <c r="I36" s="8"/>
      <c r="J36" s="8"/>
      <c r="K36" s="9"/>
    </row>
    <row r="37" spans="1:11" ht="14.25" customHeight="1" x14ac:dyDescent="0.25">
      <c r="A37" s="8" t="s">
        <v>35</v>
      </c>
      <c r="B37" s="8"/>
      <c r="C37" s="15">
        <f t="shared" si="3"/>
        <v>-326976</v>
      </c>
      <c r="D37" s="15">
        <f t="shared" si="4"/>
        <v>-340055.04000000004</v>
      </c>
      <c r="E37" s="15">
        <f t="shared" si="4"/>
        <v>-350256.69120000006</v>
      </c>
      <c r="F37" s="15">
        <f t="shared" si="4"/>
        <v>-360764.39193600009</v>
      </c>
      <c r="G37" s="15">
        <f t="shared" si="4"/>
        <v>-371587.32369408011</v>
      </c>
      <c r="H37" s="15">
        <f t="shared" si="4"/>
        <v>-382734.94340490253</v>
      </c>
      <c r="I37" s="8"/>
      <c r="J37" s="8"/>
      <c r="K37" s="9"/>
    </row>
    <row r="38" spans="1:11" ht="14.25" customHeight="1" x14ac:dyDescent="0.25">
      <c r="A38" s="8" t="s">
        <v>36</v>
      </c>
      <c r="B38" s="8"/>
      <c r="C38" s="15">
        <f t="shared" si="3"/>
        <v>-58855.68</v>
      </c>
      <c r="D38" s="15">
        <f t="shared" si="4"/>
        <v>-61209.907200000001</v>
      </c>
      <c r="E38" s="15">
        <f t="shared" si="4"/>
        <v>-63046.204416</v>
      </c>
      <c r="F38" s="15">
        <f t="shared" si="4"/>
        <v>-64937.590548480002</v>
      </c>
      <c r="G38" s="15">
        <f t="shared" si="4"/>
        <v>-66885.718264934403</v>
      </c>
      <c r="H38" s="15">
        <f t="shared" si="4"/>
        <v>-68892.289812882431</v>
      </c>
      <c r="I38" s="8"/>
      <c r="J38" s="8"/>
      <c r="K38" s="9"/>
    </row>
    <row r="39" spans="1:11" ht="14.25" customHeight="1" x14ac:dyDescent="0.25">
      <c r="A39" s="8" t="s">
        <v>37</v>
      </c>
      <c r="B39" s="8"/>
      <c r="C39" s="15">
        <f t="shared" si="3"/>
        <v>-585287.04</v>
      </c>
      <c r="D39" s="15">
        <f t="shared" si="4"/>
        <v>-608698.52160000009</v>
      </c>
      <c r="E39" s="15">
        <f t="shared" si="4"/>
        <v>-626959.4772480001</v>
      </c>
      <c r="F39" s="15">
        <f t="shared" si="4"/>
        <v>-645768.2615654401</v>
      </c>
      <c r="G39" s="15">
        <f t="shared" si="4"/>
        <v>-665141.30941240327</v>
      </c>
      <c r="H39" s="15">
        <f t="shared" si="4"/>
        <v>-685095.54869477532</v>
      </c>
      <c r="I39" s="8"/>
      <c r="J39" s="8"/>
      <c r="K39" s="9"/>
    </row>
    <row r="40" spans="1:11" ht="15" customHeight="1" x14ac:dyDescent="0.25">
      <c r="A40" s="35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spans="1:11" ht="15" customHeight="1" x14ac:dyDescent="0.25">
      <c r="A41" s="34" t="s">
        <v>43</v>
      </c>
      <c r="B41" s="8"/>
      <c r="C41" s="15">
        <f t="shared" ref="C41:H41" si="5">SUM(C32:C40)</f>
        <v>-1687196.1600000001</v>
      </c>
      <c r="D41" s="15">
        <f t="shared" si="5"/>
        <v>-1754684.0064000003</v>
      </c>
      <c r="E41" s="15">
        <f t="shared" si="5"/>
        <v>-1807324.5265920004</v>
      </c>
      <c r="F41" s="15">
        <f t="shared" si="5"/>
        <v>-1861544.2623897602</v>
      </c>
      <c r="G41" s="15">
        <f t="shared" si="5"/>
        <v>-1917390.5902614533</v>
      </c>
      <c r="H41" s="15">
        <f t="shared" si="5"/>
        <v>-1974912.3079692968</v>
      </c>
      <c r="I41" s="8"/>
      <c r="J41" s="8"/>
      <c r="K41" s="9"/>
    </row>
    <row r="42" spans="1:11" ht="15" customHeight="1" x14ac:dyDescent="0.25">
      <c r="A42" s="34" t="s">
        <v>44</v>
      </c>
      <c r="B42" s="8"/>
      <c r="C42" s="15">
        <f t="shared" ref="C42:H42" si="6">C31+C41</f>
        <v>10165023.816</v>
      </c>
      <c r="D42" s="15">
        <f t="shared" si="6"/>
        <v>10441991.112652501</v>
      </c>
      <c r="E42" s="15">
        <f t="shared" si="6"/>
        <v>10698104.478501294</v>
      </c>
      <c r="F42" s="15">
        <f t="shared" si="6"/>
        <v>10954047.680953242</v>
      </c>
      <c r="G42" s="15">
        <f t="shared" si="6"/>
        <v>11189016.179280298</v>
      </c>
      <c r="H42" s="15">
        <f t="shared" si="6"/>
        <v>11422279.692150714</v>
      </c>
      <c r="I42" s="8"/>
      <c r="J42" s="8"/>
      <c r="K42" s="9"/>
    </row>
    <row r="43" spans="1:11" ht="15" customHeight="1" x14ac:dyDescent="0.25">
      <c r="A43" s="35" t="s">
        <v>45</v>
      </c>
      <c r="B43" s="8"/>
      <c r="C43" s="15">
        <f>-G26*(1+F14)</f>
        <v>-382561.92000000004</v>
      </c>
      <c r="D43" s="15">
        <f>C43*(1+G$14)</f>
        <v>-397864.39680000005</v>
      </c>
      <c r="E43" s="15">
        <f>D43*(1+H$14)</f>
        <v>-409800.32870400004</v>
      </c>
      <c r="F43" s="15">
        <f>E43*(1+I$14)</f>
        <v>-422094.33856512007</v>
      </c>
      <c r="G43" s="15">
        <f>F43*(1+J$14)</f>
        <v>-434757.16872207366</v>
      </c>
      <c r="H43" s="15">
        <f>G43*(1+K$14)</f>
        <v>-447799.88378373586</v>
      </c>
      <c r="I43" s="8"/>
      <c r="J43" s="8"/>
      <c r="K43" s="9"/>
    </row>
    <row r="44" spans="1:11" ht="15" customHeight="1" x14ac:dyDescent="0.25">
      <c r="A44" s="34" t="s">
        <v>46</v>
      </c>
      <c r="B44" s="8"/>
      <c r="C44" s="15">
        <f t="shared" ref="C44:H44" si="7">C42+C43</f>
        <v>9782461.8959999997</v>
      </c>
      <c r="D44" s="15">
        <f t="shared" si="7"/>
        <v>10044126.715852501</v>
      </c>
      <c r="E44" s="15">
        <f t="shared" si="7"/>
        <v>10288304.149797294</v>
      </c>
      <c r="F44" s="15">
        <f t="shared" si="7"/>
        <v>10531953.342388121</v>
      </c>
      <c r="G44" s="15">
        <f t="shared" si="7"/>
        <v>10754259.010558223</v>
      </c>
      <c r="H44" s="15">
        <f t="shared" si="7"/>
        <v>10974479.808366979</v>
      </c>
      <c r="I44" s="8"/>
      <c r="J44" s="8"/>
      <c r="K44" s="9"/>
    </row>
    <row r="45" spans="1:11" ht="14.25" customHeight="1" x14ac:dyDescent="0.25">
      <c r="A45" s="6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spans="1:11" ht="15" customHeight="1" x14ac:dyDescent="0.25">
      <c r="A46" s="26" t="s">
        <v>47</v>
      </c>
      <c r="B46" s="8"/>
      <c r="C46" s="8"/>
      <c r="D46" s="8"/>
      <c r="E46" s="8"/>
      <c r="F46" s="8"/>
      <c r="G46" s="8"/>
      <c r="H46" s="8"/>
      <c r="I46" s="8"/>
      <c r="J46" s="8"/>
      <c r="K46" s="9"/>
    </row>
    <row r="47" spans="1:11" ht="15" customHeight="1" x14ac:dyDescent="0.25">
      <c r="A47" s="35" t="s">
        <v>15</v>
      </c>
      <c r="B47" s="28">
        <f>-B9</f>
        <v>-190000445.15887851</v>
      </c>
      <c r="C47" s="8"/>
      <c r="D47" s="8"/>
      <c r="E47" s="8"/>
      <c r="F47" s="8"/>
      <c r="G47" s="8"/>
      <c r="H47" s="8"/>
      <c r="I47" s="8"/>
      <c r="J47" s="8"/>
      <c r="K47" s="9"/>
    </row>
    <row r="48" spans="1:11" ht="15" customHeight="1" x14ac:dyDescent="0.25">
      <c r="A48" s="35" t="s">
        <v>48</v>
      </c>
      <c r="B48" s="8"/>
      <c r="C48" s="28">
        <f>C44</f>
        <v>9782461.8959999997</v>
      </c>
      <c r="D48" s="28">
        <f>D44</f>
        <v>10044126.715852501</v>
      </c>
      <c r="E48" s="28">
        <f>E44</f>
        <v>10288304.149797294</v>
      </c>
      <c r="F48" s="28">
        <f>F44</f>
        <v>10531953.342388121</v>
      </c>
      <c r="G48" s="28">
        <f>G44</f>
        <v>10754259.010558223</v>
      </c>
      <c r="H48" s="8"/>
      <c r="I48" s="8"/>
      <c r="J48" s="8"/>
      <c r="K48" s="9"/>
    </row>
    <row r="49" spans="1:11" ht="15" customHeight="1" x14ac:dyDescent="0.25">
      <c r="A49" s="35" t="s">
        <v>49</v>
      </c>
      <c r="B49" s="8"/>
      <c r="C49" s="8"/>
      <c r="D49" s="8"/>
      <c r="E49" s="8"/>
      <c r="F49" s="8"/>
      <c r="G49" s="28">
        <f>$B$14</f>
        <v>183537485.65165249</v>
      </c>
      <c r="H49" s="8"/>
      <c r="I49" s="8"/>
      <c r="J49" s="8"/>
      <c r="K49" s="9"/>
    </row>
    <row r="50" spans="1:11" ht="15" customHeight="1" x14ac:dyDescent="0.25">
      <c r="A50" s="35" t="s">
        <v>50</v>
      </c>
      <c r="B50" s="28">
        <f>B47</f>
        <v>-190000445.15887851</v>
      </c>
      <c r="C50" s="28">
        <f>SUM(C48:C49)</f>
        <v>9782461.8959999997</v>
      </c>
      <c r="D50" s="28">
        <f>SUM(D48:D49)</f>
        <v>10044126.715852501</v>
      </c>
      <c r="E50" s="28">
        <f>SUM(E48:E49)</f>
        <v>10288304.149797294</v>
      </c>
      <c r="F50" s="28">
        <f>SUM(F48:F49)</f>
        <v>10531953.342388121</v>
      </c>
      <c r="G50" s="28">
        <f>SUM(G48:G49)</f>
        <v>194291744.6622107</v>
      </c>
      <c r="H50" s="8"/>
      <c r="I50" s="8"/>
      <c r="J50" s="8"/>
      <c r="K50" s="9"/>
    </row>
    <row r="51" spans="1:11" ht="15" customHeight="1" x14ac:dyDescent="0.25">
      <c r="A51" s="34" t="s">
        <v>51</v>
      </c>
      <c r="B51" s="37">
        <f>IRR(B50:G50)</f>
        <v>4.780379242625532E-2</v>
      </c>
      <c r="C51" s="8"/>
      <c r="D51" s="8"/>
      <c r="E51" s="8"/>
      <c r="F51" s="8"/>
      <c r="G51" s="8"/>
      <c r="H51" s="8"/>
      <c r="I51" s="8"/>
      <c r="J51" s="8"/>
      <c r="K51" s="9"/>
    </row>
    <row r="52" spans="1:11" ht="14.25" customHeight="1" x14ac:dyDescent="0.25">
      <c r="A52" s="6"/>
      <c r="B52" s="8"/>
      <c r="C52" s="8"/>
      <c r="D52" s="8"/>
      <c r="E52" s="8"/>
      <c r="F52" s="8"/>
      <c r="G52" s="8"/>
      <c r="H52" s="8"/>
      <c r="I52" s="8"/>
      <c r="J52" s="8"/>
      <c r="K52" s="9"/>
    </row>
    <row r="53" spans="1:11" ht="15" customHeight="1" x14ac:dyDescent="0.25">
      <c r="A53" s="26" t="s">
        <v>52</v>
      </c>
      <c r="B53" s="8"/>
      <c r="C53" s="8"/>
      <c r="D53" s="8"/>
      <c r="E53" s="8"/>
      <c r="F53" s="8"/>
      <c r="G53" s="8"/>
      <c r="H53" s="8"/>
      <c r="I53" s="8"/>
      <c r="J53" s="8"/>
      <c r="K53" s="9"/>
    </row>
    <row r="54" spans="1:11" ht="15" customHeight="1" x14ac:dyDescent="0.25">
      <c r="A54" s="35" t="s">
        <v>48</v>
      </c>
      <c r="B54" s="8"/>
      <c r="C54" s="28">
        <f>C48</f>
        <v>9782461.8959999997</v>
      </c>
      <c r="D54" s="28">
        <f>D48</f>
        <v>10044126.715852501</v>
      </c>
      <c r="E54" s="28">
        <f>E48</f>
        <v>10288304.149797294</v>
      </c>
      <c r="F54" s="28">
        <f>F48</f>
        <v>10531953.342388121</v>
      </c>
      <c r="G54" s="28">
        <f>G48</f>
        <v>10754259.010558223</v>
      </c>
      <c r="H54" s="8"/>
      <c r="I54" s="8"/>
      <c r="J54" s="8"/>
      <c r="K54" s="9"/>
    </row>
    <row r="55" spans="1:11" ht="15" customHeight="1" x14ac:dyDescent="0.25">
      <c r="A55" s="35" t="s">
        <v>49</v>
      </c>
      <c r="B55" s="8"/>
      <c r="C55" s="8"/>
      <c r="D55" s="8"/>
      <c r="E55" s="8"/>
      <c r="F55" s="8"/>
      <c r="G55" s="28">
        <f>G49</f>
        <v>183537485.65165249</v>
      </c>
      <c r="H55" s="8"/>
      <c r="I55" s="8"/>
      <c r="J55" s="8"/>
      <c r="K55" s="9"/>
    </row>
    <row r="56" spans="1:11" ht="15" customHeight="1" x14ac:dyDescent="0.25">
      <c r="A56" s="35" t="s">
        <v>50</v>
      </c>
      <c r="B56" s="8"/>
      <c r="C56" s="28">
        <f>SUM(C54:C55)</f>
        <v>9782461.8959999997</v>
      </c>
      <c r="D56" s="28">
        <f>SUM(D54:D55)</f>
        <v>10044126.715852501</v>
      </c>
      <c r="E56" s="28">
        <f>SUM(E54:E55)</f>
        <v>10288304.149797294</v>
      </c>
      <c r="F56" s="28">
        <f>SUM(F54:F55)</f>
        <v>10531953.342388121</v>
      </c>
      <c r="G56" s="28">
        <f>SUM(G54:G55)</f>
        <v>194291744.6622107</v>
      </c>
      <c r="H56" s="8"/>
      <c r="I56" s="8"/>
      <c r="J56" s="8"/>
      <c r="K56" s="9"/>
    </row>
    <row r="57" spans="1:11" ht="45" customHeight="1" x14ac:dyDescent="0.25">
      <c r="A57" s="38" t="s">
        <v>53</v>
      </c>
      <c r="B57" s="39">
        <f>NPV(B18,C56:G56)</f>
        <v>165809239.2323378</v>
      </c>
      <c r="C57" s="8"/>
      <c r="D57" s="8"/>
      <c r="E57" s="8"/>
      <c r="F57" s="8"/>
      <c r="G57" s="8"/>
      <c r="H57" s="8"/>
      <c r="I57" s="8"/>
      <c r="J57" s="8"/>
      <c r="K57" s="9"/>
    </row>
    <row r="58" spans="1:11" ht="14.25" customHeight="1" x14ac:dyDescent="0.25">
      <c r="A58" s="6"/>
      <c r="B58" s="8"/>
      <c r="C58" s="8"/>
      <c r="D58" s="8"/>
      <c r="E58" s="8"/>
      <c r="F58" s="8"/>
      <c r="G58" s="8"/>
      <c r="H58" s="8"/>
      <c r="I58" s="8"/>
      <c r="J58" s="8"/>
      <c r="K58" s="9"/>
    </row>
    <row r="59" spans="1:11" ht="14.25" customHeight="1" x14ac:dyDescent="0.25">
      <c r="A59" s="6"/>
      <c r="B59" s="8"/>
      <c r="C59" s="8"/>
      <c r="D59" s="8"/>
      <c r="E59" s="8"/>
      <c r="F59" s="8"/>
      <c r="G59" s="8"/>
      <c r="H59" s="8"/>
      <c r="I59" s="8"/>
      <c r="J59" s="8"/>
      <c r="K59" s="9"/>
    </row>
    <row r="60" spans="1:11" ht="14.25" customHeight="1" x14ac:dyDescent="0.25">
      <c r="A60" s="6"/>
      <c r="B60" s="8"/>
      <c r="C60" s="8"/>
      <c r="D60" s="8"/>
      <c r="E60" s="8"/>
      <c r="F60" s="8"/>
      <c r="G60" s="8"/>
      <c r="H60" s="8"/>
      <c r="I60" s="8"/>
      <c r="J60" s="8"/>
      <c r="K60" s="9"/>
    </row>
    <row r="61" spans="1:11" ht="14.25" customHeight="1" x14ac:dyDescent="0.25">
      <c r="A61" s="6"/>
      <c r="B61" s="8"/>
      <c r="C61" s="8"/>
      <c r="D61" s="8"/>
      <c r="E61" s="8"/>
      <c r="F61" s="8"/>
      <c r="G61" s="8"/>
      <c r="H61" s="8"/>
      <c r="I61" s="8"/>
      <c r="J61" s="8"/>
      <c r="K61" s="9"/>
    </row>
    <row r="62" spans="1:11" ht="14.25" customHeight="1" x14ac:dyDescent="0.25">
      <c r="A62" s="6"/>
      <c r="B62" s="8"/>
      <c r="C62" s="8"/>
      <c r="D62" s="8"/>
      <c r="E62" s="8"/>
      <c r="F62" s="8"/>
      <c r="G62" s="8"/>
      <c r="H62" s="8"/>
      <c r="I62" s="8"/>
      <c r="J62" s="8"/>
      <c r="K62" s="9"/>
    </row>
    <row r="63" spans="1:11" ht="14.25" customHeight="1" x14ac:dyDescent="0.25">
      <c r="A63" s="6"/>
      <c r="B63" s="8"/>
      <c r="C63" s="8"/>
      <c r="D63" s="8"/>
      <c r="E63" s="8"/>
      <c r="F63" s="8"/>
      <c r="G63" s="8"/>
      <c r="H63" s="8"/>
      <c r="I63" s="8"/>
      <c r="J63" s="8"/>
      <c r="K63" s="9"/>
    </row>
    <row r="64" spans="1:11" ht="14.25" customHeight="1" x14ac:dyDescent="0.25">
      <c r="A64" s="6"/>
      <c r="B64" s="8"/>
      <c r="C64" s="8"/>
      <c r="D64" s="8"/>
      <c r="E64" s="8"/>
      <c r="F64" s="8"/>
      <c r="G64" s="8"/>
      <c r="H64" s="8"/>
      <c r="I64" s="8"/>
      <c r="J64" s="8"/>
      <c r="K64" s="9"/>
    </row>
    <row r="65" spans="1:11" ht="14.25" customHeight="1" x14ac:dyDescent="0.25">
      <c r="A65" s="6"/>
      <c r="B65" s="8"/>
      <c r="C65" s="8"/>
      <c r="D65" s="8"/>
      <c r="E65" s="8"/>
      <c r="F65" s="8"/>
      <c r="G65" s="8"/>
      <c r="H65" s="8"/>
      <c r="I65" s="8"/>
      <c r="J65" s="8"/>
      <c r="K65" s="9"/>
    </row>
    <row r="66" spans="1:11" ht="14.25" customHeight="1" x14ac:dyDescent="0.25">
      <c r="A66" s="6"/>
      <c r="B66" s="8"/>
      <c r="C66" s="8"/>
      <c r="D66" s="8"/>
      <c r="E66" s="8"/>
      <c r="F66" s="8"/>
      <c r="G66" s="8"/>
      <c r="H66" s="8"/>
      <c r="I66" s="8"/>
      <c r="J66" s="8"/>
      <c r="K66" s="9"/>
    </row>
    <row r="67" spans="1:11" ht="15" customHeight="1" x14ac:dyDescent="0.25">
      <c r="A67" s="35"/>
      <c r="B67" s="8"/>
      <c r="C67" s="8"/>
      <c r="D67" s="8"/>
      <c r="E67" s="8"/>
      <c r="F67" s="8"/>
      <c r="G67" s="8"/>
      <c r="H67" s="8"/>
      <c r="I67" s="8"/>
      <c r="J67" s="8"/>
      <c r="K67" s="9"/>
    </row>
    <row r="68" spans="1:11" ht="15" customHeight="1" x14ac:dyDescent="0.25">
      <c r="A68" s="35"/>
      <c r="B68" s="8"/>
      <c r="C68" s="8"/>
      <c r="D68" s="8"/>
      <c r="E68" s="8"/>
      <c r="F68" s="8"/>
      <c r="G68" s="8"/>
      <c r="H68" s="8"/>
      <c r="I68" s="8"/>
      <c r="J68" s="8"/>
      <c r="K68" s="9"/>
    </row>
    <row r="69" spans="1:11" ht="15" customHeight="1" x14ac:dyDescent="0.25">
      <c r="A69" s="35"/>
      <c r="B69" s="8"/>
      <c r="C69" s="8"/>
      <c r="D69" s="8"/>
      <c r="E69" s="8"/>
      <c r="F69" s="8"/>
      <c r="G69" s="8"/>
      <c r="H69" s="8"/>
      <c r="I69" s="8"/>
      <c r="J69" s="8"/>
      <c r="K69" s="9"/>
    </row>
    <row r="70" spans="1:11" ht="15" customHeight="1" x14ac:dyDescent="0.25">
      <c r="A70" s="35"/>
      <c r="B70" s="8"/>
      <c r="C70" s="8"/>
      <c r="D70" s="8"/>
      <c r="E70" s="8"/>
      <c r="F70" s="8"/>
      <c r="G70" s="8"/>
      <c r="H70" s="8"/>
      <c r="I70" s="8"/>
      <c r="J70" s="8"/>
      <c r="K70" s="9"/>
    </row>
    <row r="71" spans="1:11" ht="15" customHeight="1" x14ac:dyDescent="0.25">
      <c r="A71" s="35"/>
      <c r="B71" s="8"/>
      <c r="C71" s="8"/>
      <c r="D71" s="8"/>
      <c r="E71" s="8"/>
      <c r="F71" s="8"/>
      <c r="G71" s="8"/>
      <c r="H71" s="8"/>
      <c r="I71" s="8"/>
      <c r="J71" s="8"/>
      <c r="K71" s="9"/>
    </row>
    <row r="72" spans="1:11" ht="15" customHeight="1" x14ac:dyDescent="0.25">
      <c r="A72" s="35"/>
      <c r="B72" s="8"/>
      <c r="C72" s="8"/>
      <c r="D72" s="8"/>
      <c r="E72" s="8"/>
      <c r="F72" s="8"/>
      <c r="G72" s="8"/>
      <c r="H72" s="8"/>
      <c r="I72" s="8"/>
      <c r="J72" s="8"/>
      <c r="K72" s="9"/>
    </row>
    <row r="73" spans="1:11" ht="15" customHeight="1" x14ac:dyDescent="0.25">
      <c r="A73" s="34"/>
      <c r="B73" s="8"/>
      <c r="C73" s="8"/>
      <c r="D73" s="8"/>
      <c r="E73" s="8"/>
      <c r="F73" s="8"/>
      <c r="G73" s="8"/>
      <c r="H73" s="8"/>
      <c r="I73" s="8"/>
      <c r="J73" s="8"/>
      <c r="K73" s="9"/>
    </row>
    <row r="74" spans="1:11" ht="15" customHeight="1" x14ac:dyDescent="0.25">
      <c r="A74" s="34"/>
      <c r="B74" s="8"/>
      <c r="C74" s="8"/>
      <c r="D74" s="8"/>
      <c r="E74" s="8"/>
      <c r="F74" s="8"/>
      <c r="G74" s="8"/>
      <c r="H74" s="8"/>
      <c r="I74" s="8"/>
      <c r="J74" s="8"/>
      <c r="K74" s="9"/>
    </row>
    <row r="75" spans="1:11" ht="15" customHeight="1" x14ac:dyDescent="0.25">
      <c r="A75" s="34"/>
      <c r="B75" s="8"/>
      <c r="C75" s="8"/>
      <c r="D75" s="8"/>
      <c r="E75" s="8"/>
      <c r="F75" s="8"/>
      <c r="G75" s="8"/>
      <c r="H75" s="8"/>
      <c r="I75" s="8"/>
      <c r="J75" s="8"/>
      <c r="K75" s="9"/>
    </row>
    <row r="76" spans="1:11" ht="14.25" customHeight="1" x14ac:dyDescent="0.25">
      <c r="A76" s="6"/>
      <c r="B76" s="8"/>
      <c r="C76" s="8"/>
      <c r="D76" s="8"/>
      <c r="E76" s="8"/>
      <c r="F76" s="8"/>
      <c r="G76" s="8"/>
      <c r="H76" s="8"/>
      <c r="I76" s="8"/>
      <c r="J76" s="8"/>
      <c r="K76" s="9"/>
    </row>
    <row r="77" spans="1:11" ht="15" customHeight="1" x14ac:dyDescent="0.25">
      <c r="A77" s="34"/>
      <c r="B77" s="8"/>
      <c r="C77" s="8"/>
      <c r="D77" s="8"/>
      <c r="E77" s="8"/>
      <c r="F77" s="8"/>
      <c r="G77" s="8"/>
      <c r="H77" s="8"/>
      <c r="I77" s="8"/>
      <c r="J77" s="8"/>
      <c r="K77" s="9"/>
    </row>
    <row r="78" spans="1:11" ht="15" customHeight="1" x14ac:dyDescent="0.25">
      <c r="A78" s="34"/>
      <c r="B78" s="8"/>
      <c r="C78" s="8"/>
      <c r="D78" s="8"/>
      <c r="E78" s="8"/>
      <c r="F78" s="8"/>
      <c r="G78" s="8"/>
      <c r="H78" s="8"/>
      <c r="I78" s="8"/>
      <c r="J78" s="8"/>
      <c r="K78" s="9"/>
    </row>
    <row r="79" spans="1:11" ht="15" customHeight="1" x14ac:dyDescent="0.25">
      <c r="A79" s="34"/>
      <c r="B79" s="8"/>
      <c r="C79" s="8"/>
      <c r="D79" s="8"/>
      <c r="E79" s="8"/>
      <c r="F79" s="8"/>
      <c r="G79" s="8"/>
      <c r="H79" s="8"/>
      <c r="I79" s="8"/>
      <c r="J79" s="8"/>
      <c r="K79" s="9"/>
    </row>
    <row r="80" spans="1:11" ht="15" customHeight="1" x14ac:dyDescent="0.25">
      <c r="A80" s="34"/>
      <c r="B80" s="8"/>
      <c r="C80" s="8"/>
      <c r="D80" s="8"/>
      <c r="E80" s="8"/>
      <c r="F80" s="8"/>
      <c r="G80" s="8"/>
      <c r="H80" s="8"/>
      <c r="I80" s="8"/>
      <c r="J80" s="8"/>
      <c r="K80" s="9"/>
    </row>
    <row r="81" spans="1:11" ht="15" customHeight="1" x14ac:dyDescent="0.25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2"/>
    </row>
  </sheetData>
  <mergeCells count="5">
    <mergeCell ref="A1:B1"/>
    <mergeCell ref="E1:K1"/>
    <mergeCell ref="A6:B6"/>
    <mergeCell ref="A11:B11"/>
    <mergeCell ref="A17:B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tabSelected="1" zoomScaleNormal="100" workbookViewId="0">
      <selection activeCell="B13" sqref="B13"/>
    </sheetView>
  </sheetViews>
  <sheetFormatPr defaultColWidth="8.5703125" defaultRowHeight="15" x14ac:dyDescent="0.25"/>
  <cols>
    <col min="1" max="1" width="32" customWidth="1"/>
    <col min="2" max="2" width="16" customWidth="1"/>
    <col min="3" max="4" width="14" customWidth="1"/>
    <col min="5" max="5" width="26" customWidth="1"/>
    <col min="6" max="6" width="14" customWidth="1"/>
    <col min="7" max="7" width="16" customWidth="1"/>
    <col min="8" max="11" width="14" customWidth="1"/>
  </cols>
  <sheetData>
    <row r="1" spans="1:11" ht="14.25" customHeight="1" x14ac:dyDescent="0.25">
      <c r="A1" s="4" t="s">
        <v>0</v>
      </c>
      <c r="B1" s="4"/>
      <c r="C1" s="5"/>
      <c r="D1" s="5"/>
      <c r="E1" s="3" t="s">
        <v>1</v>
      </c>
      <c r="F1" s="3"/>
      <c r="G1" s="3"/>
      <c r="H1" s="3"/>
      <c r="I1" s="3"/>
      <c r="J1" s="3"/>
      <c r="K1" s="3"/>
    </row>
    <row r="2" spans="1:11" ht="14.25" customHeight="1" x14ac:dyDescent="0.25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8"/>
      <c r="K2" s="9"/>
    </row>
    <row r="3" spans="1:11" ht="14.25" customHeight="1" x14ac:dyDescent="0.25">
      <c r="A3" s="6" t="s">
        <v>4</v>
      </c>
      <c r="B3" s="7" t="s">
        <v>5</v>
      </c>
      <c r="C3" s="8"/>
      <c r="D3" s="8"/>
      <c r="E3" s="8" t="s">
        <v>6</v>
      </c>
      <c r="F3" s="8" t="s">
        <v>7</v>
      </c>
      <c r="G3" s="8" t="s">
        <v>8</v>
      </c>
      <c r="H3" s="8"/>
      <c r="I3" s="8"/>
      <c r="J3" s="8"/>
      <c r="K3" s="9"/>
    </row>
    <row r="4" spans="1:11" ht="14.25" customHeight="1" x14ac:dyDescent="0.25">
      <c r="A4" s="10" t="s">
        <v>9</v>
      </c>
      <c r="B4" s="11">
        <v>314400</v>
      </c>
      <c r="C4" s="8"/>
      <c r="D4" s="8"/>
      <c r="E4" s="8" t="s">
        <v>10</v>
      </c>
      <c r="F4" s="12">
        <v>317</v>
      </c>
      <c r="G4" s="13">
        <v>2382</v>
      </c>
      <c r="H4" s="8"/>
      <c r="I4" s="8"/>
      <c r="J4" s="8"/>
      <c r="K4" s="9"/>
    </row>
    <row r="5" spans="1:11" ht="14.25" customHeight="1" x14ac:dyDescent="0.25">
      <c r="A5" s="10"/>
      <c r="B5" s="14"/>
      <c r="C5" s="8"/>
      <c r="D5" s="8"/>
      <c r="E5" s="8" t="s">
        <v>11</v>
      </c>
      <c r="F5" s="12">
        <v>77</v>
      </c>
      <c r="G5" s="13">
        <v>3796</v>
      </c>
      <c r="H5" s="8"/>
      <c r="I5" s="8"/>
      <c r="J5" s="8"/>
      <c r="K5" s="9"/>
    </row>
    <row r="6" spans="1:11" ht="14.25" customHeight="1" x14ac:dyDescent="0.25">
      <c r="A6" s="2" t="s">
        <v>12</v>
      </c>
      <c r="B6" s="2"/>
      <c r="C6" s="8"/>
      <c r="D6" s="8"/>
      <c r="E6" s="8"/>
      <c r="F6" s="8"/>
      <c r="G6" s="15">
        <f>SUMPRODUCT(F4:F5,G4:G5)*12</f>
        <v>12568632</v>
      </c>
      <c r="H6" s="8"/>
      <c r="I6" s="8"/>
      <c r="J6" s="8"/>
      <c r="K6" s="9"/>
    </row>
    <row r="7" spans="1:11" ht="14.25" customHeight="1" x14ac:dyDescent="0.25">
      <c r="A7" s="6" t="s">
        <v>13</v>
      </c>
      <c r="B7" s="16">
        <v>5.3499999999999999E-2</v>
      </c>
      <c r="C7" s="8"/>
      <c r="D7" s="8"/>
      <c r="E7" s="8"/>
      <c r="F7" s="8"/>
      <c r="G7" s="8"/>
      <c r="H7" s="8"/>
      <c r="I7" s="8"/>
      <c r="J7" s="8"/>
      <c r="K7" s="9"/>
    </row>
    <row r="8" spans="1:11" ht="14.25" customHeight="1" x14ac:dyDescent="0.25">
      <c r="A8" s="6" t="s">
        <v>14</v>
      </c>
      <c r="B8" s="17">
        <f>C42</f>
        <v>10019972.298</v>
      </c>
      <c r="C8" s="8"/>
      <c r="D8" s="8"/>
      <c r="E8" s="8"/>
      <c r="F8" s="8"/>
      <c r="G8" s="8"/>
      <c r="H8" s="8"/>
      <c r="I8" s="8"/>
      <c r="J8" s="8"/>
      <c r="K8" s="9"/>
    </row>
    <row r="9" spans="1:11" ht="14.25" customHeight="1" x14ac:dyDescent="0.25">
      <c r="A9" s="10" t="s">
        <v>15</v>
      </c>
      <c r="B9" s="18">
        <f>B8/B7</f>
        <v>187289201.83177572</v>
      </c>
      <c r="C9" s="8"/>
      <c r="D9" s="8"/>
      <c r="E9" s="8"/>
      <c r="F9" s="8"/>
      <c r="G9" s="8"/>
      <c r="H9" s="8"/>
      <c r="I9" s="8"/>
      <c r="J9" s="8"/>
      <c r="K9" s="9"/>
    </row>
    <row r="10" spans="1:11" ht="14.25" customHeight="1" x14ac:dyDescent="0.25">
      <c r="A10" s="10"/>
      <c r="B10" s="14"/>
      <c r="C10" s="8"/>
      <c r="D10" s="8"/>
      <c r="E10" s="8"/>
      <c r="F10" s="8"/>
      <c r="G10" s="8"/>
      <c r="H10" s="8"/>
      <c r="I10" s="8"/>
      <c r="J10" s="8"/>
      <c r="K10" s="9"/>
    </row>
    <row r="11" spans="1:11" ht="14.25" customHeight="1" x14ac:dyDescent="0.25">
      <c r="A11" s="2" t="s">
        <v>16</v>
      </c>
      <c r="B11" s="2"/>
      <c r="C11" s="8"/>
      <c r="D11" s="8"/>
      <c r="E11" s="8"/>
      <c r="F11" s="12">
        <v>1</v>
      </c>
      <c r="G11" s="12">
        <v>2</v>
      </c>
      <c r="H11" s="12">
        <v>3</v>
      </c>
      <c r="I11" s="12">
        <v>4</v>
      </c>
      <c r="J11" s="12">
        <v>5</v>
      </c>
      <c r="K11" s="19">
        <v>6</v>
      </c>
    </row>
    <row r="12" spans="1:11" ht="14.25" customHeight="1" x14ac:dyDescent="0.25">
      <c r="A12" s="6" t="s">
        <v>17</v>
      </c>
      <c r="B12" s="20">
        <v>5</v>
      </c>
      <c r="C12" s="8"/>
      <c r="D12" s="8"/>
      <c r="E12" s="8" t="s">
        <v>18</v>
      </c>
      <c r="F12" s="21">
        <v>2.5000000000000001E-2</v>
      </c>
      <c r="G12" s="21">
        <v>2.2499999999999999E-2</v>
      </c>
      <c r="H12" s="21">
        <v>2.0500000000000001E-2</v>
      </c>
      <c r="I12" s="21">
        <v>1.8499999999999999E-2</v>
      </c>
      <c r="J12" s="21">
        <v>1.6500000000000001E-2</v>
      </c>
      <c r="K12" s="22">
        <v>1.4999999999999999E-2</v>
      </c>
    </row>
    <row r="13" spans="1:11" ht="14.25" customHeight="1" x14ac:dyDescent="0.25">
      <c r="A13" s="6" t="s">
        <v>19</v>
      </c>
      <c r="B13" s="23">
        <f>B7+1%</f>
        <v>6.3500000000000001E-2</v>
      </c>
      <c r="C13" s="8"/>
      <c r="D13" s="8"/>
      <c r="E13" s="8" t="s">
        <v>20</v>
      </c>
      <c r="F13" s="21">
        <v>0.09</v>
      </c>
      <c r="G13" s="21">
        <v>8.5000000000000006E-2</v>
      </c>
      <c r="H13" s="21">
        <v>0.08</v>
      </c>
      <c r="I13" s="21">
        <v>7.4999999999999997E-2</v>
      </c>
      <c r="J13" s="21">
        <v>7.2499999999999995E-2</v>
      </c>
      <c r="K13" s="22">
        <v>7.0000000000000007E-2</v>
      </c>
    </row>
    <row r="14" spans="1:11" ht="14.25" customHeight="1" x14ac:dyDescent="0.25">
      <c r="A14" s="6" t="s">
        <v>21</v>
      </c>
      <c r="B14" s="17">
        <f>(H42/B13)*(1-B15)</f>
        <v>163499116.20626318</v>
      </c>
      <c r="C14" s="8" t="s">
        <v>22</v>
      </c>
      <c r="D14" s="8"/>
      <c r="E14" s="8" t="s">
        <v>23</v>
      </c>
      <c r="F14" s="21">
        <v>0.05</v>
      </c>
      <c r="G14" s="21">
        <v>0.05</v>
      </c>
      <c r="H14" s="21">
        <v>0.04</v>
      </c>
      <c r="I14" s="21">
        <v>0.04</v>
      </c>
      <c r="J14" s="21">
        <v>0.04</v>
      </c>
      <c r="K14" s="21">
        <v>0.04</v>
      </c>
    </row>
    <row r="15" spans="1:11" ht="14.25" customHeight="1" x14ac:dyDescent="0.25">
      <c r="A15" s="10" t="s">
        <v>24</v>
      </c>
      <c r="B15" s="24">
        <v>0.06</v>
      </c>
      <c r="C15" s="8"/>
      <c r="D15" s="8"/>
      <c r="E15" s="8"/>
      <c r="F15" s="8"/>
      <c r="G15" s="8"/>
      <c r="H15" s="8"/>
      <c r="I15" s="8"/>
      <c r="J15" s="8"/>
      <c r="K15" s="9"/>
    </row>
    <row r="16" spans="1:11" ht="28.5" customHeight="1" x14ac:dyDescent="0.25">
      <c r="A16" s="6"/>
      <c r="B16" s="8"/>
      <c r="C16" s="8"/>
      <c r="D16" s="8"/>
      <c r="E16" s="25" t="s">
        <v>25</v>
      </c>
      <c r="F16" s="12" t="s">
        <v>26</v>
      </c>
      <c r="G16" s="12" t="s">
        <v>27</v>
      </c>
      <c r="H16" s="8"/>
      <c r="I16" s="8"/>
      <c r="J16" s="8"/>
      <c r="K16" s="9"/>
    </row>
    <row r="17" spans="1:11" ht="14.25" customHeight="1" x14ac:dyDescent="0.25">
      <c r="A17" s="1" t="s">
        <v>28</v>
      </c>
      <c r="B17" s="1"/>
      <c r="C17" s="8"/>
      <c r="D17" s="8"/>
      <c r="E17" s="8" t="s">
        <v>29</v>
      </c>
      <c r="F17" s="27">
        <v>0.43</v>
      </c>
      <c r="G17" s="28">
        <f t="shared" ref="G17:G24" si="0">$B$4*F17</f>
        <v>135192</v>
      </c>
      <c r="H17" s="8"/>
      <c r="I17" s="8"/>
      <c r="J17" s="8"/>
      <c r="K17" s="9"/>
    </row>
    <row r="18" spans="1:11" ht="14.25" customHeight="1" x14ac:dyDescent="0.25">
      <c r="A18" s="6" t="s">
        <v>30</v>
      </c>
      <c r="B18" s="29">
        <v>0.08</v>
      </c>
      <c r="C18" s="8"/>
      <c r="D18" s="8"/>
      <c r="E18" s="8" t="s">
        <v>31</v>
      </c>
      <c r="F18" s="27">
        <v>0.52</v>
      </c>
      <c r="G18" s="28">
        <f t="shared" si="0"/>
        <v>163488</v>
      </c>
      <c r="H18" s="8"/>
      <c r="I18" s="8"/>
      <c r="J18" s="8"/>
      <c r="K18" s="9"/>
    </row>
    <row r="19" spans="1:11" ht="14.25" customHeight="1" x14ac:dyDescent="0.25">
      <c r="A19" s="6"/>
      <c r="B19" s="8"/>
      <c r="C19" s="8"/>
      <c r="D19" s="8"/>
      <c r="E19" s="8" t="s">
        <v>32</v>
      </c>
      <c r="F19" s="27">
        <v>0.63</v>
      </c>
      <c r="G19" s="28">
        <f t="shared" si="0"/>
        <v>198072</v>
      </c>
      <c r="H19" s="8"/>
      <c r="I19" s="8"/>
      <c r="J19" s="8"/>
      <c r="K19" s="9"/>
    </row>
    <row r="20" spans="1:11" ht="14.25" customHeight="1" x14ac:dyDescent="0.25">
      <c r="A20" s="6"/>
      <c r="B20" s="8"/>
      <c r="C20" s="8"/>
      <c r="D20" s="8"/>
      <c r="E20" s="8" t="s">
        <v>33</v>
      </c>
      <c r="F20" s="27">
        <v>0.12</v>
      </c>
      <c r="G20" s="28">
        <f t="shared" si="0"/>
        <v>37728</v>
      </c>
      <c r="H20" s="8"/>
      <c r="I20" s="8"/>
      <c r="J20" s="8"/>
      <c r="K20" s="9"/>
    </row>
    <row r="21" spans="1:11" ht="14.25" customHeight="1" x14ac:dyDescent="0.25">
      <c r="A21" s="6"/>
      <c r="B21" s="8"/>
      <c r="C21" s="8"/>
      <c r="D21" s="8"/>
      <c r="E21" s="8" t="s">
        <v>34</v>
      </c>
      <c r="F21" s="27">
        <v>0.49</v>
      </c>
      <c r="G21" s="28">
        <f t="shared" si="0"/>
        <v>154056</v>
      </c>
      <c r="H21" s="8"/>
      <c r="I21" s="8"/>
      <c r="J21" s="8"/>
      <c r="K21" s="9"/>
    </row>
    <row r="22" spans="1:11" ht="14.25" customHeight="1" x14ac:dyDescent="0.25">
      <c r="A22" s="6"/>
      <c r="B22" s="8"/>
      <c r="C22" s="8"/>
      <c r="D22" s="8"/>
      <c r="E22" s="8" t="s">
        <v>35</v>
      </c>
      <c r="F22" s="27">
        <v>1</v>
      </c>
      <c r="G22" s="28">
        <f t="shared" si="0"/>
        <v>314400</v>
      </c>
      <c r="H22" s="8"/>
      <c r="I22" s="8"/>
      <c r="J22" s="8"/>
      <c r="K22" s="9"/>
    </row>
    <row r="23" spans="1:11" ht="14.25" customHeight="1" x14ac:dyDescent="0.25">
      <c r="A23" s="6"/>
      <c r="B23" s="8"/>
      <c r="C23" s="8"/>
      <c r="D23" s="8"/>
      <c r="E23" s="8" t="s">
        <v>36</v>
      </c>
      <c r="F23" s="27">
        <v>0.18</v>
      </c>
      <c r="G23" s="28">
        <f t="shared" si="0"/>
        <v>56592</v>
      </c>
      <c r="H23" s="8"/>
      <c r="I23" s="8"/>
      <c r="J23" s="8"/>
      <c r="K23" s="9"/>
    </row>
    <row r="24" spans="1:11" ht="14.25" customHeight="1" x14ac:dyDescent="0.25">
      <c r="A24" s="6"/>
      <c r="B24" s="8"/>
      <c r="C24" s="8"/>
      <c r="D24" s="8"/>
      <c r="E24" s="8" t="s">
        <v>37</v>
      </c>
      <c r="F24" s="27">
        <v>1.79</v>
      </c>
      <c r="G24" s="28">
        <f t="shared" si="0"/>
        <v>562776</v>
      </c>
      <c r="H24" s="8"/>
      <c r="I24" s="8"/>
      <c r="J24" s="8"/>
      <c r="K24" s="9"/>
    </row>
    <row r="25" spans="1:11" ht="14.25" customHeight="1" x14ac:dyDescent="0.25">
      <c r="A25" s="6"/>
      <c r="B25" s="8"/>
      <c r="C25" s="8"/>
      <c r="D25" s="8"/>
      <c r="E25" s="8"/>
      <c r="F25" s="30"/>
      <c r="G25" s="28"/>
      <c r="H25" s="8"/>
      <c r="I25" s="8"/>
      <c r="J25" s="8"/>
      <c r="K25" s="9"/>
    </row>
    <row r="26" spans="1:11" ht="14.25" customHeight="1" x14ac:dyDescent="0.25">
      <c r="A26" s="6"/>
      <c r="B26" s="8"/>
      <c r="C26" s="8"/>
      <c r="D26" s="8"/>
      <c r="E26" s="8" t="s">
        <v>38</v>
      </c>
      <c r="F26" s="27">
        <v>1.17</v>
      </c>
      <c r="G26" s="28">
        <f>$B$4*F26</f>
        <v>367848</v>
      </c>
      <c r="H26" s="8"/>
      <c r="I26" s="8"/>
      <c r="J26" s="8"/>
      <c r="K26" s="9"/>
    </row>
    <row r="27" spans="1:11" ht="14.25" customHeight="1" x14ac:dyDescent="0.25">
      <c r="A27" s="6"/>
      <c r="B27" s="8"/>
      <c r="C27" s="8"/>
      <c r="D27" s="8"/>
      <c r="E27" s="8"/>
      <c r="F27" s="31"/>
      <c r="G27" s="8"/>
      <c r="H27" s="8"/>
      <c r="I27" s="8"/>
      <c r="J27" s="8"/>
      <c r="K27" s="9"/>
    </row>
    <row r="28" spans="1:11" ht="14.25" customHeight="1" x14ac:dyDescent="0.25">
      <c r="A28" s="32" t="s">
        <v>39</v>
      </c>
      <c r="B28" s="33">
        <v>0</v>
      </c>
      <c r="C28" s="33">
        <v>1</v>
      </c>
      <c r="D28" s="33">
        <v>2</v>
      </c>
      <c r="E28" s="33">
        <v>3</v>
      </c>
      <c r="F28" s="33">
        <v>4</v>
      </c>
      <c r="G28" s="33">
        <v>5</v>
      </c>
      <c r="H28" s="33">
        <v>6</v>
      </c>
      <c r="I28" s="8"/>
      <c r="J28" s="8"/>
      <c r="K28" s="9"/>
    </row>
    <row r="29" spans="1:11" ht="15" customHeight="1" x14ac:dyDescent="0.25">
      <c r="A29" s="34" t="s">
        <v>40</v>
      </c>
      <c r="B29" s="8"/>
      <c r="C29" s="15">
        <f>G6*(1+F12)</f>
        <v>12882847.799999999</v>
      </c>
      <c r="D29" s="15">
        <f>C29*(1+G12)</f>
        <v>13172711.875499999</v>
      </c>
      <c r="E29" s="15">
        <f>D29*(1+H$12)</f>
        <v>13442752.468947748</v>
      </c>
      <c r="F29" s="15">
        <f>E29*(1+I$12)</f>
        <v>13691443.389623281</v>
      </c>
      <c r="G29" s="15">
        <f>F29*(1+J$12)</f>
        <v>13917352.205552064</v>
      </c>
      <c r="H29" s="15">
        <f>G29*(1+K$12)</f>
        <v>14126112.488635343</v>
      </c>
      <c r="I29" s="8"/>
      <c r="J29" s="8"/>
      <c r="K29" s="9"/>
    </row>
    <row r="30" spans="1:11" ht="15" customHeight="1" x14ac:dyDescent="0.25">
      <c r="A30" s="35" t="s">
        <v>41</v>
      </c>
      <c r="B30" s="8"/>
      <c r="C30" s="15">
        <f t="shared" ref="C30:H30" si="1">-C29*F13</f>
        <v>-1159456.3019999999</v>
      </c>
      <c r="D30" s="15">
        <f t="shared" si="1"/>
        <v>-1119680.5094175001</v>
      </c>
      <c r="E30" s="15">
        <f t="shared" si="1"/>
        <v>-1075420.1975158199</v>
      </c>
      <c r="F30" s="15">
        <f t="shared" si="1"/>
        <v>-1026858.254221746</v>
      </c>
      <c r="G30" s="15">
        <f t="shared" si="1"/>
        <v>-1009008.0349025246</v>
      </c>
      <c r="H30" s="15">
        <f t="shared" si="1"/>
        <v>-988827.87420447404</v>
      </c>
      <c r="I30" s="8"/>
      <c r="J30" s="8"/>
      <c r="K30" s="9"/>
    </row>
    <row r="31" spans="1:11" ht="15" customHeight="1" x14ac:dyDescent="0.25">
      <c r="A31" s="34" t="s">
        <v>42</v>
      </c>
      <c r="B31" s="8"/>
      <c r="C31" s="36">
        <f t="shared" ref="C31:H31" si="2">C29+C30</f>
        <v>11723391.498</v>
      </c>
      <c r="D31" s="36">
        <f t="shared" si="2"/>
        <v>12053031.366082499</v>
      </c>
      <c r="E31" s="36">
        <f t="shared" si="2"/>
        <v>12367332.271431929</v>
      </c>
      <c r="F31" s="36">
        <f t="shared" si="2"/>
        <v>12664585.135401534</v>
      </c>
      <c r="G31" s="36">
        <f t="shared" si="2"/>
        <v>12908344.17064954</v>
      </c>
      <c r="H31" s="36">
        <f t="shared" si="2"/>
        <v>13137284.614430869</v>
      </c>
      <c r="I31" s="8"/>
      <c r="J31" s="8"/>
      <c r="K31" s="9"/>
    </row>
    <row r="32" spans="1:11" ht="14.25" customHeight="1" x14ac:dyDescent="0.25">
      <c r="A32" s="8" t="s">
        <v>29</v>
      </c>
      <c r="B32" s="8"/>
      <c r="C32" s="15">
        <f t="shared" ref="C32:C39" si="3">-$G17*(1+F$14)</f>
        <v>-141951.6</v>
      </c>
      <c r="D32" s="15">
        <f t="shared" ref="D32:H39" si="4">C32*(1+G$14)</f>
        <v>-149049.18000000002</v>
      </c>
      <c r="E32" s="15">
        <f t="shared" si="4"/>
        <v>-155011.14720000004</v>
      </c>
      <c r="F32" s="15">
        <f t="shared" si="4"/>
        <v>-161211.59308800005</v>
      </c>
      <c r="G32" s="15">
        <f t="shared" si="4"/>
        <v>-167660.05681152007</v>
      </c>
      <c r="H32" s="15">
        <f t="shared" si="4"/>
        <v>-174366.45908398088</v>
      </c>
      <c r="I32" s="8"/>
      <c r="J32" s="8"/>
      <c r="K32" s="9"/>
    </row>
    <row r="33" spans="1:11" ht="14.25" customHeight="1" x14ac:dyDescent="0.25">
      <c r="A33" s="8" t="s">
        <v>31</v>
      </c>
      <c r="B33" s="8"/>
      <c r="C33" s="15">
        <f t="shared" si="3"/>
        <v>-171662.4</v>
      </c>
      <c r="D33" s="15">
        <f t="shared" si="4"/>
        <v>-180245.52</v>
      </c>
      <c r="E33" s="15">
        <f t="shared" si="4"/>
        <v>-187455.34080000001</v>
      </c>
      <c r="F33" s="15">
        <f t="shared" si="4"/>
        <v>-194953.554432</v>
      </c>
      <c r="G33" s="15">
        <f t="shared" si="4"/>
        <v>-202751.69660928001</v>
      </c>
      <c r="H33" s="15">
        <f t="shared" si="4"/>
        <v>-210861.76447365122</v>
      </c>
      <c r="I33" s="8"/>
      <c r="J33" s="8"/>
      <c r="K33" s="9"/>
    </row>
    <row r="34" spans="1:11" ht="14.25" customHeight="1" x14ac:dyDescent="0.25">
      <c r="A34" s="8" t="s">
        <v>32</v>
      </c>
      <c r="B34" s="8"/>
      <c r="C34" s="15">
        <f t="shared" si="3"/>
        <v>-207975.6</v>
      </c>
      <c r="D34" s="15">
        <f t="shared" si="4"/>
        <v>-218374.38</v>
      </c>
      <c r="E34" s="15">
        <f t="shared" si="4"/>
        <v>-227109.35520000002</v>
      </c>
      <c r="F34" s="15">
        <f t="shared" si="4"/>
        <v>-236193.72940800004</v>
      </c>
      <c r="G34" s="15">
        <f t="shared" si="4"/>
        <v>-245641.47858432005</v>
      </c>
      <c r="H34" s="15">
        <f t="shared" si="4"/>
        <v>-255467.13772769287</v>
      </c>
      <c r="I34" s="8"/>
      <c r="J34" s="8"/>
      <c r="K34" s="9"/>
    </row>
    <row r="35" spans="1:11" ht="14.25" customHeight="1" x14ac:dyDescent="0.25">
      <c r="A35" s="8" t="s">
        <v>33</v>
      </c>
      <c r="B35" s="8"/>
      <c r="C35" s="15">
        <f t="shared" si="3"/>
        <v>-39614.400000000001</v>
      </c>
      <c r="D35" s="15">
        <f t="shared" si="4"/>
        <v>-41595.120000000003</v>
      </c>
      <c r="E35" s="15">
        <f t="shared" si="4"/>
        <v>-43258.924800000001</v>
      </c>
      <c r="F35" s="15">
        <f t="shared" si="4"/>
        <v>-44989.281792000002</v>
      </c>
      <c r="G35" s="15">
        <f t="shared" si="4"/>
        <v>-46788.853063680006</v>
      </c>
      <c r="H35" s="15">
        <f t="shared" si="4"/>
        <v>-48660.40718622721</v>
      </c>
      <c r="I35" s="8"/>
      <c r="J35" s="8"/>
      <c r="K35" s="9"/>
    </row>
    <row r="36" spans="1:11" ht="14.25" customHeight="1" x14ac:dyDescent="0.25">
      <c r="A36" s="8" t="s">
        <v>34</v>
      </c>
      <c r="B36" s="8"/>
      <c r="C36" s="15">
        <f t="shared" si="3"/>
        <v>-161758.80000000002</v>
      </c>
      <c r="D36" s="15">
        <f t="shared" si="4"/>
        <v>-169846.74000000002</v>
      </c>
      <c r="E36" s="15">
        <f t="shared" si="4"/>
        <v>-176640.60960000003</v>
      </c>
      <c r="F36" s="15">
        <f t="shared" si="4"/>
        <v>-183706.23398400002</v>
      </c>
      <c r="G36" s="15">
        <f t="shared" si="4"/>
        <v>-191054.48334336001</v>
      </c>
      <c r="H36" s="15">
        <f t="shared" si="4"/>
        <v>-198696.66267709443</v>
      </c>
      <c r="I36" s="8"/>
      <c r="J36" s="8"/>
      <c r="K36" s="9"/>
    </row>
    <row r="37" spans="1:11" ht="14.25" customHeight="1" x14ac:dyDescent="0.25">
      <c r="A37" s="8" t="s">
        <v>35</v>
      </c>
      <c r="B37" s="8"/>
      <c r="C37" s="15">
        <f t="shared" si="3"/>
        <v>-330120</v>
      </c>
      <c r="D37" s="15">
        <f t="shared" si="4"/>
        <v>-346626</v>
      </c>
      <c r="E37" s="15">
        <f t="shared" si="4"/>
        <v>-360491.04000000004</v>
      </c>
      <c r="F37" s="15">
        <f t="shared" si="4"/>
        <v>-374910.68160000007</v>
      </c>
      <c r="G37" s="15">
        <f t="shared" si="4"/>
        <v>-389907.10886400007</v>
      </c>
      <c r="H37" s="15">
        <f t="shared" si="4"/>
        <v>-405503.39321856009</v>
      </c>
      <c r="I37" s="8"/>
      <c r="J37" s="8"/>
      <c r="K37" s="9"/>
    </row>
    <row r="38" spans="1:11" ht="14.25" customHeight="1" x14ac:dyDescent="0.25">
      <c r="A38" s="8" t="s">
        <v>36</v>
      </c>
      <c r="B38" s="8"/>
      <c r="C38" s="15">
        <f t="shared" si="3"/>
        <v>-59421.600000000006</v>
      </c>
      <c r="D38" s="15">
        <f t="shared" si="4"/>
        <v>-62392.680000000008</v>
      </c>
      <c r="E38" s="15">
        <f t="shared" si="4"/>
        <v>-64888.387200000012</v>
      </c>
      <c r="F38" s="15">
        <f t="shared" si="4"/>
        <v>-67483.922688000021</v>
      </c>
      <c r="G38" s="15">
        <f t="shared" si="4"/>
        <v>-70183.279595520027</v>
      </c>
      <c r="H38" s="15">
        <f t="shared" si="4"/>
        <v>-72990.61077934083</v>
      </c>
      <c r="I38" s="8"/>
      <c r="J38" s="8"/>
      <c r="K38" s="9"/>
    </row>
    <row r="39" spans="1:11" ht="14.25" customHeight="1" x14ac:dyDescent="0.25">
      <c r="A39" s="8" t="s">
        <v>37</v>
      </c>
      <c r="B39" s="8"/>
      <c r="C39" s="15">
        <f t="shared" si="3"/>
        <v>-590914.80000000005</v>
      </c>
      <c r="D39" s="15">
        <f t="shared" si="4"/>
        <v>-620460.54</v>
      </c>
      <c r="E39" s="15">
        <f t="shared" si="4"/>
        <v>-645278.96160000004</v>
      </c>
      <c r="F39" s="15">
        <f t="shared" si="4"/>
        <v>-671090.12006400002</v>
      </c>
      <c r="G39" s="15">
        <f t="shared" si="4"/>
        <v>-697933.72486656008</v>
      </c>
      <c r="H39" s="15">
        <f t="shared" si="4"/>
        <v>-725851.07386122248</v>
      </c>
      <c r="I39" s="8"/>
      <c r="J39" s="8"/>
      <c r="K39" s="9"/>
    </row>
    <row r="40" spans="1:11" ht="15" customHeight="1" x14ac:dyDescent="0.25">
      <c r="A40" s="35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spans="1:11" ht="15" customHeight="1" x14ac:dyDescent="0.25">
      <c r="A41" s="34" t="s">
        <v>43</v>
      </c>
      <c r="B41" s="8"/>
      <c r="C41" s="15">
        <f t="shared" ref="C41:H41" si="5">SUM(C32:C40)</f>
        <v>-1703419.2000000002</v>
      </c>
      <c r="D41" s="15">
        <f t="shared" si="5"/>
        <v>-1788590.16</v>
      </c>
      <c r="E41" s="15">
        <f t="shared" si="5"/>
        <v>-1860133.7664000001</v>
      </c>
      <c r="F41" s="15">
        <f t="shared" si="5"/>
        <v>-1934539.1170560005</v>
      </c>
      <c r="G41" s="15">
        <f t="shared" si="5"/>
        <v>-2011920.6817382402</v>
      </c>
      <c r="H41" s="15">
        <f t="shared" si="5"/>
        <v>-2092397.5090077699</v>
      </c>
      <c r="I41" s="8"/>
      <c r="J41" s="8"/>
      <c r="K41" s="9"/>
    </row>
    <row r="42" spans="1:11" ht="15" customHeight="1" x14ac:dyDescent="0.25">
      <c r="A42" s="34" t="s">
        <v>44</v>
      </c>
      <c r="B42" s="8"/>
      <c r="C42" s="15">
        <f t="shared" ref="C42:H42" si="6">C31+C41</f>
        <v>10019972.298</v>
      </c>
      <c r="D42" s="15">
        <f t="shared" si="6"/>
        <v>10264441.206082499</v>
      </c>
      <c r="E42" s="15">
        <f t="shared" si="6"/>
        <v>10507198.505031928</v>
      </c>
      <c r="F42" s="15">
        <f t="shared" si="6"/>
        <v>10730046.018345533</v>
      </c>
      <c r="G42" s="15">
        <f t="shared" si="6"/>
        <v>10896423.488911299</v>
      </c>
      <c r="H42" s="15">
        <f t="shared" si="6"/>
        <v>11044887.105423098</v>
      </c>
      <c r="I42" s="8"/>
      <c r="J42" s="8"/>
      <c r="K42" s="9"/>
    </row>
    <row r="43" spans="1:11" ht="15" customHeight="1" x14ac:dyDescent="0.25">
      <c r="A43" s="35" t="s">
        <v>45</v>
      </c>
      <c r="B43" s="8"/>
      <c r="C43" s="15">
        <f>-G26*(1+F14)</f>
        <v>-386240.4</v>
      </c>
      <c r="D43" s="15">
        <f>C43*(1+G$14)</f>
        <v>-405552.42000000004</v>
      </c>
      <c r="E43" s="15">
        <f>D43*(1+H$14)</f>
        <v>-421774.51680000004</v>
      </c>
      <c r="F43" s="15">
        <f>E43*(1+I$14)</f>
        <v>-438645.49747200008</v>
      </c>
      <c r="G43" s="15">
        <f>F43*(1+J$14)</f>
        <v>-456191.3173708801</v>
      </c>
      <c r="H43" s="15">
        <f>G43*(1+K$14)</f>
        <v>-474438.97006571532</v>
      </c>
      <c r="I43" s="8"/>
      <c r="J43" s="8"/>
      <c r="K43" s="9"/>
    </row>
    <row r="44" spans="1:11" ht="15" customHeight="1" x14ac:dyDescent="0.25">
      <c r="A44" s="34" t="s">
        <v>46</v>
      </c>
      <c r="B44" s="8"/>
      <c r="C44" s="15">
        <f t="shared" ref="C44:H44" si="7">C42+C43</f>
        <v>9633731.898</v>
      </c>
      <c r="D44" s="15">
        <f t="shared" si="7"/>
        <v>9858888.7860824987</v>
      </c>
      <c r="E44" s="15">
        <f t="shared" si="7"/>
        <v>10085423.988231929</v>
      </c>
      <c r="F44" s="15">
        <f t="shared" si="7"/>
        <v>10291400.520873534</v>
      </c>
      <c r="G44" s="15">
        <f t="shared" si="7"/>
        <v>10440232.171540419</v>
      </c>
      <c r="H44" s="15">
        <f t="shared" si="7"/>
        <v>10570448.135357384</v>
      </c>
      <c r="I44" s="8"/>
      <c r="J44" s="8"/>
      <c r="K44" s="9"/>
    </row>
    <row r="45" spans="1:11" ht="14.25" customHeight="1" x14ac:dyDescent="0.25">
      <c r="A45" s="6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spans="1:11" ht="15" customHeight="1" x14ac:dyDescent="0.25">
      <c r="A46" s="26" t="s">
        <v>47</v>
      </c>
      <c r="B46" s="8"/>
      <c r="C46" s="8"/>
      <c r="D46" s="8"/>
      <c r="E46" s="8"/>
      <c r="F46" s="8"/>
      <c r="G46" s="8"/>
      <c r="H46" s="8"/>
      <c r="I46" s="8"/>
      <c r="J46" s="8"/>
      <c r="K46" s="9"/>
    </row>
    <row r="47" spans="1:11" ht="15" customHeight="1" x14ac:dyDescent="0.25">
      <c r="A47" s="35" t="s">
        <v>15</v>
      </c>
      <c r="B47" s="28">
        <f>-B9</f>
        <v>-187289201.83177572</v>
      </c>
      <c r="C47" s="8"/>
      <c r="D47" s="8"/>
      <c r="E47" s="8"/>
      <c r="F47" s="8"/>
      <c r="G47" s="8"/>
      <c r="H47" s="8"/>
      <c r="I47" s="8"/>
      <c r="J47" s="8"/>
      <c r="K47" s="9"/>
    </row>
    <row r="48" spans="1:11" ht="15" customHeight="1" x14ac:dyDescent="0.25">
      <c r="A48" s="35" t="s">
        <v>48</v>
      </c>
      <c r="B48" s="8"/>
      <c r="C48" s="28">
        <f>C44</f>
        <v>9633731.898</v>
      </c>
      <c r="D48" s="28">
        <f>D44</f>
        <v>9858888.7860824987</v>
      </c>
      <c r="E48" s="28">
        <f>E44</f>
        <v>10085423.988231929</v>
      </c>
      <c r="F48" s="28">
        <f>F44</f>
        <v>10291400.520873534</v>
      </c>
      <c r="G48" s="28">
        <f>G44</f>
        <v>10440232.171540419</v>
      </c>
      <c r="H48" s="8"/>
      <c r="I48" s="8"/>
      <c r="J48" s="8"/>
      <c r="K48" s="9"/>
    </row>
    <row r="49" spans="1:11" ht="15" customHeight="1" x14ac:dyDescent="0.25">
      <c r="A49" s="35" t="s">
        <v>49</v>
      </c>
      <c r="B49" s="8"/>
      <c r="C49" s="8"/>
      <c r="D49" s="8"/>
      <c r="E49" s="8"/>
      <c r="F49" s="8"/>
      <c r="G49" s="28">
        <f>$B$14</f>
        <v>163499116.20626318</v>
      </c>
      <c r="H49" s="8"/>
      <c r="I49" s="8"/>
      <c r="J49" s="8"/>
      <c r="K49" s="9"/>
    </row>
    <row r="50" spans="1:11" ht="15" customHeight="1" x14ac:dyDescent="0.25">
      <c r="A50" s="35" t="s">
        <v>50</v>
      </c>
      <c r="B50" s="28">
        <f>B47</f>
        <v>-187289201.83177572</v>
      </c>
      <c r="C50" s="28">
        <f>SUM(C48:C49)</f>
        <v>9633731.898</v>
      </c>
      <c r="D50" s="28">
        <f>SUM(D48:D49)</f>
        <v>9858888.7860824987</v>
      </c>
      <c r="E50" s="28">
        <f>SUM(E48:E49)</f>
        <v>10085423.988231929</v>
      </c>
      <c r="F50" s="28">
        <f>SUM(F48:F49)</f>
        <v>10291400.520873534</v>
      </c>
      <c r="G50" s="28">
        <f>SUM(G48:G49)</f>
        <v>173939348.37780359</v>
      </c>
      <c r="H50" s="8"/>
      <c r="I50" s="8"/>
      <c r="J50" s="8"/>
      <c r="K50" s="9"/>
    </row>
    <row r="51" spans="1:11" ht="15" customHeight="1" x14ac:dyDescent="0.25">
      <c r="A51" s="34" t="s">
        <v>51</v>
      </c>
      <c r="B51" s="37">
        <f>IRR(B50:G50)</f>
        <v>2.9721277773981924E-2</v>
      </c>
      <c r="C51" s="8"/>
      <c r="D51" s="8"/>
      <c r="E51" s="8"/>
      <c r="F51" s="8"/>
      <c r="G51" s="8"/>
      <c r="H51" s="8"/>
      <c r="I51" s="8"/>
      <c r="J51" s="8"/>
      <c r="K51" s="9"/>
    </row>
    <row r="52" spans="1:11" ht="14.25" customHeight="1" x14ac:dyDescent="0.25">
      <c r="A52" s="6"/>
      <c r="B52" s="8"/>
      <c r="C52" s="8"/>
      <c r="D52" s="8"/>
      <c r="E52" s="8"/>
      <c r="F52" s="8"/>
      <c r="G52" s="8"/>
      <c r="H52" s="8"/>
      <c r="I52" s="8"/>
      <c r="J52" s="8"/>
      <c r="K52" s="9"/>
    </row>
    <row r="53" spans="1:11" ht="15" customHeight="1" x14ac:dyDescent="0.25">
      <c r="A53" s="26" t="s">
        <v>52</v>
      </c>
      <c r="B53" s="8"/>
      <c r="C53" s="8"/>
      <c r="D53" s="8"/>
      <c r="E53" s="8"/>
      <c r="F53" s="8"/>
      <c r="G53" s="8"/>
      <c r="H53" s="8"/>
      <c r="I53" s="8"/>
      <c r="J53" s="8"/>
      <c r="K53" s="9"/>
    </row>
    <row r="54" spans="1:11" ht="15" customHeight="1" x14ac:dyDescent="0.25">
      <c r="A54" s="35" t="s">
        <v>48</v>
      </c>
      <c r="B54" s="8"/>
      <c r="C54" s="28">
        <f>C48</f>
        <v>9633731.898</v>
      </c>
      <c r="D54" s="28">
        <f>D48</f>
        <v>9858888.7860824987</v>
      </c>
      <c r="E54" s="28">
        <f>E48</f>
        <v>10085423.988231929</v>
      </c>
      <c r="F54" s="28">
        <f>F48</f>
        <v>10291400.520873534</v>
      </c>
      <c r="G54" s="28">
        <f>G48</f>
        <v>10440232.171540419</v>
      </c>
      <c r="H54" s="8"/>
      <c r="I54" s="8"/>
      <c r="J54" s="8"/>
      <c r="K54" s="9"/>
    </row>
    <row r="55" spans="1:11" ht="15" customHeight="1" x14ac:dyDescent="0.25">
      <c r="A55" s="35" t="s">
        <v>49</v>
      </c>
      <c r="B55" s="8"/>
      <c r="C55" s="8"/>
      <c r="D55" s="8"/>
      <c r="E55" s="8"/>
      <c r="F55" s="8"/>
      <c r="G55" s="28">
        <f>G49</f>
        <v>163499116.20626318</v>
      </c>
      <c r="H55" s="8"/>
      <c r="I55" s="8"/>
      <c r="J55" s="8"/>
      <c r="K55" s="9"/>
    </row>
    <row r="56" spans="1:11" ht="15" customHeight="1" x14ac:dyDescent="0.25">
      <c r="A56" s="35" t="s">
        <v>50</v>
      </c>
      <c r="B56" s="8"/>
      <c r="C56" s="28">
        <f>SUM(C54:C55)</f>
        <v>9633731.898</v>
      </c>
      <c r="D56" s="28">
        <f>SUM(D54:D55)</f>
        <v>9858888.7860824987</v>
      </c>
      <c r="E56" s="28">
        <f>SUM(E54:E55)</f>
        <v>10085423.988231929</v>
      </c>
      <c r="F56" s="28">
        <f>SUM(F54:F55)</f>
        <v>10291400.520873534</v>
      </c>
      <c r="G56" s="28">
        <f>SUM(G54:G55)</f>
        <v>173939348.37780359</v>
      </c>
      <c r="H56" s="8"/>
      <c r="I56" s="8"/>
      <c r="J56" s="8"/>
      <c r="K56" s="9"/>
    </row>
    <row r="57" spans="1:11" ht="45" customHeight="1" x14ac:dyDescent="0.25">
      <c r="A57" s="38" t="s">
        <v>53</v>
      </c>
      <c r="B57" s="39">
        <f>NPV(B18,C56:G56)</f>
        <v>151323349.35420126</v>
      </c>
      <c r="C57" s="8"/>
      <c r="D57" s="8"/>
      <c r="E57" s="8"/>
      <c r="F57" s="8"/>
      <c r="G57" s="8"/>
      <c r="H57" s="8"/>
      <c r="I57" s="8"/>
      <c r="J57" s="8"/>
      <c r="K57" s="9"/>
    </row>
    <row r="58" spans="1:11" ht="14.25" customHeight="1" x14ac:dyDescent="0.25">
      <c r="A58" s="6"/>
      <c r="B58" s="8"/>
      <c r="C58" s="8"/>
      <c r="D58" s="8"/>
      <c r="E58" s="8"/>
      <c r="F58" s="8"/>
      <c r="G58" s="8"/>
      <c r="H58" s="8"/>
      <c r="I58" s="8"/>
      <c r="J58" s="8"/>
      <c r="K58" s="9"/>
    </row>
    <row r="59" spans="1:11" ht="14.25" customHeight="1" x14ac:dyDescent="0.25">
      <c r="A59" s="6"/>
      <c r="B59" s="8"/>
      <c r="C59" s="8"/>
      <c r="D59" s="8"/>
      <c r="E59" s="8"/>
      <c r="F59" s="8"/>
      <c r="G59" s="8"/>
      <c r="H59" s="8"/>
      <c r="I59" s="8"/>
      <c r="J59" s="8"/>
      <c r="K59" s="9"/>
    </row>
    <row r="60" spans="1:11" ht="14.25" customHeight="1" x14ac:dyDescent="0.25">
      <c r="A60" s="6"/>
      <c r="B60" s="8"/>
      <c r="C60" s="8"/>
      <c r="D60" s="8"/>
      <c r="E60" s="8"/>
      <c r="F60" s="8"/>
      <c r="G60" s="8"/>
      <c r="H60" s="8"/>
      <c r="I60" s="8"/>
      <c r="J60" s="8"/>
      <c r="K60" s="9"/>
    </row>
    <row r="61" spans="1:11" ht="14.25" customHeight="1" x14ac:dyDescent="0.25">
      <c r="A61" s="6"/>
      <c r="B61" s="8"/>
      <c r="C61" s="8"/>
      <c r="D61" s="8"/>
      <c r="E61" s="8"/>
      <c r="F61" s="8"/>
      <c r="G61" s="8"/>
      <c r="H61" s="8"/>
      <c r="I61" s="8"/>
      <c r="J61" s="8"/>
      <c r="K61" s="9"/>
    </row>
    <row r="62" spans="1:11" ht="14.25" customHeight="1" x14ac:dyDescent="0.25">
      <c r="A62" s="6"/>
      <c r="B62" s="8"/>
      <c r="C62" s="8"/>
      <c r="D62" s="8"/>
      <c r="E62" s="8"/>
      <c r="F62" s="8"/>
      <c r="G62" s="8"/>
      <c r="H62" s="8"/>
      <c r="I62" s="8"/>
      <c r="J62" s="8"/>
      <c r="K62" s="9"/>
    </row>
    <row r="63" spans="1:11" ht="14.25" customHeight="1" x14ac:dyDescent="0.25">
      <c r="A63" s="6"/>
      <c r="B63" s="8"/>
      <c r="C63" s="8"/>
      <c r="D63" s="8"/>
      <c r="E63" s="8"/>
      <c r="F63" s="8"/>
      <c r="G63" s="8"/>
      <c r="H63" s="8"/>
      <c r="I63" s="8"/>
      <c r="J63" s="8"/>
      <c r="K63" s="9"/>
    </row>
    <row r="64" spans="1:11" ht="14.25" customHeight="1" x14ac:dyDescent="0.25">
      <c r="A64" s="6"/>
      <c r="B64" s="8"/>
      <c r="C64" s="8"/>
      <c r="D64" s="8"/>
      <c r="E64" s="8"/>
      <c r="F64" s="8"/>
      <c r="G64" s="8"/>
      <c r="H64" s="8"/>
      <c r="I64" s="8"/>
      <c r="J64" s="8"/>
      <c r="K64" s="9"/>
    </row>
    <row r="65" spans="1:11" ht="14.25" customHeight="1" x14ac:dyDescent="0.25">
      <c r="A65" s="6"/>
      <c r="B65" s="8"/>
      <c r="C65" s="8"/>
      <c r="D65" s="8"/>
      <c r="E65" s="8"/>
      <c r="F65" s="8"/>
      <c r="G65" s="8"/>
      <c r="H65" s="8"/>
      <c r="I65" s="8"/>
      <c r="J65" s="8"/>
      <c r="K65" s="9"/>
    </row>
    <row r="66" spans="1:11" ht="14.25" customHeight="1" x14ac:dyDescent="0.25">
      <c r="A66" s="6"/>
      <c r="B66" s="8"/>
      <c r="C66" s="8"/>
      <c r="D66" s="8"/>
      <c r="E66" s="8"/>
      <c r="F66" s="8"/>
      <c r="G66" s="8"/>
      <c r="H66" s="8"/>
      <c r="I66" s="8"/>
      <c r="J66" s="8"/>
      <c r="K66" s="9"/>
    </row>
    <row r="67" spans="1:11" ht="15" customHeight="1" x14ac:dyDescent="0.25">
      <c r="A67" s="35"/>
      <c r="B67" s="8"/>
      <c r="C67" s="8"/>
      <c r="D67" s="8"/>
      <c r="E67" s="8"/>
      <c r="F67" s="8"/>
      <c r="G67" s="8"/>
      <c r="H67" s="8"/>
      <c r="I67" s="8"/>
      <c r="J67" s="8"/>
      <c r="K67" s="9"/>
    </row>
    <row r="68" spans="1:11" ht="15" customHeight="1" x14ac:dyDescent="0.25">
      <c r="A68" s="35"/>
      <c r="B68" s="8"/>
      <c r="C68" s="8"/>
      <c r="D68" s="8"/>
      <c r="E68" s="8"/>
      <c r="F68" s="8"/>
      <c r="G68" s="8"/>
      <c r="H68" s="8"/>
      <c r="I68" s="8"/>
      <c r="J68" s="8"/>
      <c r="K68" s="9"/>
    </row>
    <row r="69" spans="1:11" ht="15" customHeight="1" x14ac:dyDescent="0.25">
      <c r="A69" s="35"/>
      <c r="B69" s="8"/>
      <c r="C69" s="8"/>
      <c r="D69" s="8"/>
      <c r="E69" s="8"/>
      <c r="F69" s="8"/>
      <c r="G69" s="8"/>
      <c r="H69" s="8"/>
      <c r="I69" s="8"/>
      <c r="J69" s="8"/>
      <c r="K69" s="9"/>
    </row>
    <row r="70" spans="1:11" ht="15" customHeight="1" x14ac:dyDescent="0.25">
      <c r="A70" s="35"/>
      <c r="B70" s="8"/>
      <c r="C70" s="8"/>
      <c r="D70" s="8"/>
      <c r="E70" s="8"/>
      <c r="F70" s="8"/>
      <c r="G70" s="8"/>
      <c r="H70" s="8"/>
      <c r="I70" s="8"/>
      <c r="J70" s="8"/>
      <c r="K70" s="9"/>
    </row>
    <row r="71" spans="1:11" ht="15" customHeight="1" x14ac:dyDescent="0.25">
      <c r="A71" s="35"/>
      <c r="B71" s="8"/>
      <c r="C71" s="8"/>
      <c r="D71" s="8"/>
      <c r="E71" s="8"/>
      <c r="F71" s="8"/>
      <c r="G71" s="8"/>
      <c r="H71" s="8"/>
      <c r="I71" s="8"/>
      <c r="J71" s="8"/>
      <c r="K71" s="9"/>
    </row>
    <row r="72" spans="1:11" ht="15" customHeight="1" x14ac:dyDescent="0.25">
      <c r="A72" s="35"/>
      <c r="B72" s="8"/>
      <c r="C72" s="8"/>
      <c r="D72" s="8"/>
      <c r="E72" s="8"/>
      <c r="F72" s="8"/>
      <c r="G72" s="8"/>
      <c r="H72" s="8"/>
      <c r="I72" s="8"/>
      <c r="J72" s="8"/>
      <c r="K72" s="9"/>
    </row>
    <row r="73" spans="1:11" ht="15" customHeight="1" x14ac:dyDescent="0.25">
      <c r="A73" s="34"/>
      <c r="B73" s="8"/>
      <c r="C73" s="8"/>
      <c r="D73" s="8"/>
      <c r="E73" s="8"/>
      <c r="F73" s="8"/>
      <c r="G73" s="8"/>
      <c r="H73" s="8"/>
      <c r="I73" s="8"/>
      <c r="J73" s="8"/>
      <c r="K73" s="9"/>
    </row>
    <row r="74" spans="1:11" ht="15" customHeight="1" x14ac:dyDescent="0.25">
      <c r="A74" s="34"/>
      <c r="B74" s="8"/>
      <c r="C74" s="8"/>
      <c r="D74" s="8"/>
      <c r="E74" s="8"/>
      <c r="F74" s="8"/>
      <c r="G74" s="8"/>
      <c r="H74" s="8"/>
      <c r="I74" s="8"/>
      <c r="J74" s="8"/>
      <c r="K74" s="9"/>
    </row>
    <row r="75" spans="1:11" ht="15" customHeight="1" x14ac:dyDescent="0.25">
      <c r="A75" s="34"/>
      <c r="B75" s="8"/>
      <c r="C75" s="8"/>
      <c r="D75" s="8"/>
      <c r="E75" s="8"/>
      <c r="F75" s="8"/>
      <c r="G75" s="8"/>
      <c r="H75" s="8"/>
      <c r="I75" s="8"/>
      <c r="J75" s="8"/>
      <c r="K75" s="9"/>
    </row>
    <row r="76" spans="1:11" ht="14.25" customHeight="1" x14ac:dyDescent="0.25">
      <c r="A76" s="6"/>
      <c r="B76" s="8"/>
      <c r="C76" s="8"/>
      <c r="D76" s="8"/>
      <c r="E76" s="8"/>
      <c r="F76" s="8"/>
      <c r="G76" s="8"/>
      <c r="H76" s="8"/>
      <c r="I76" s="8"/>
      <c r="J76" s="8"/>
      <c r="K76" s="9"/>
    </row>
    <row r="77" spans="1:11" ht="15" customHeight="1" x14ac:dyDescent="0.25">
      <c r="A77" s="34"/>
      <c r="B77" s="8"/>
      <c r="C77" s="8"/>
      <c r="D77" s="8"/>
      <c r="E77" s="8"/>
      <c r="F77" s="8"/>
      <c r="G77" s="8"/>
      <c r="H77" s="8"/>
      <c r="I77" s="8"/>
      <c r="J77" s="8"/>
      <c r="K77" s="9"/>
    </row>
    <row r="78" spans="1:11" ht="15" customHeight="1" x14ac:dyDescent="0.25">
      <c r="A78" s="34"/>
      <c r="B78" s="8"/>
      <c r="C78" s="8"/>
      <c r="D78" s="8"/>
      <c r="E78" s="8"/>
      <c r="F78" s="8"/>
      <c r="G78" s="8"/>
      <c r="H78" s="8"/>
      <c r="I78" s="8"/>
      <c r="J78" s="8"/>
      <c r="K78" s="9"/>
    </row>
    <row r="79" spans="1:11" ht="15" customHeight="1" x14ac:dyDescent="0.25">
      <c r="A79" s="34"/>
      <c r="B79" s="8"/>
      <c r="C79" s="8"/>
      <c r="D79" s="8"/>
      <c r="E79" s="8"/>
      <c r="F79" s="8"/>
      <c r="G79" s="8"/>
      <c r="H79" s="8"/>
      <c r="I79" s="8"/>
      <c r="J79" s="8"/>
      <c r="K79" s="9"/>
    </row>
    <row r="80" spans="1:11" ht="15" customHeight="1" x14ac:dyDescent="0.25">
      <c r="A80" s="34"/>
      <c r="B80" s="8"/>
      <c r="C80" s="8"/>
      <c r="D80" s="8"/>
      <c r="E80" s="8"/>
      <c r="F80" s="8"/>
      <c r="G80" s="8"/>
      <c r="H80" s="8"/>
      <c r="I80" s="8"/>
      <c r="J80" s="8"/>
      <c r="K80" s="9"/>
    </row>
    <row r="81" spans="1:11" ht="15" customHeight="1" x14ac:dyDescent="0.25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2"/>
    </row>
  </sheetData>
  <mergeCells count="5">
    <mergeCell ref="A1:B1"/>
    <mergeCell ref="E1:K1"/>
    <mergeCell ref="A6:B6"/>
    <mergeCell ref="A11:B11"/>
    <mergeCell ref="A17:B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topLeftCell="C15" zoomScaleNormal="100" workbookViewId="0">
      <selection activeCell="D32" sqref="D32"/>
    </sheetView>
  </sheetViews>
  <sheetFormatPr defaultColWidth="8.5703125" defaultRowHeight="15" x14ac:dyDescent="0.25"/>
  <cols>
    <col min="1" max="1" width="32" customWidth="1"/>
    <col min="2" max="2" width="16" customWidth="1"/>
    <col min="3" max="4" width="14" customWidth="1"/>
    <col min="5" max="5" width="26" customWidth="1"/>
    <col min="6" max="6" width="14" customWidth="1"/>
    <col min="7" max="7" width="16" customWidth="1"/>
    <col min="8" max="11" width="14" customWidth="1"/>
  </cols>
  <sheetData>
    <row r="1" spans="1:11" ht="14.25" customHeight="1" x14ac:dyDescent="0.25">
      <c r="A1" s="4" t="s">
        <v>0</v>
      </c>
      <c r="B1" s="4"/>
      <c r="C1" s="5"/>
      <c r="D1" s="5"/>
      <c r="E1" s="3" t="s">
        <v>1</v>
      </c>
      <c r="F1" s="3"/>
      <c r="G1" s="3"/>
      <c r="H1" s="3"/>
      <c r="I1" s="3"/>
      <c r="J1" s="3"/>
      <c r="K1" s="3"/>
    </row>
    <row r="2" spans="1:11" ht="14.25" customHeight="1" x14ac:dyDescent="0.25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8"/>
      <c r="K2" s="9"/>
    </row>
    <row r="3" spans="1:11" ht="14.25" customHeight="1" x14ac:dyDescent="0.25">
      <c r="A3" s="6" t="s">
        <v>4</v>
      </c>
      <c r="B3" s="7" t="s">
        <v>5</v>
      </c>
      <c r="C3" s="8"/>
      <c r="D3" s="8"/>
      <c r="E3" s="8" t="s">
        <v>6</v>
      </c>
      <c r="F3" s="8" t="s">
        <v>7</v>
      </c>
      <c r="G3" s="8" t="s">
        <v>8</v>
      </c>
      <c r="H3" s="8"/>
      <c r="I3" s="8"/>
      <c r="J3" s="8"/>
      <c r="K3" s="9"/>
    </row>
    <row r="4" spans="1:11" ht="14.25" customHeight="1" x14ac:dyDescent="0.25">
      <c r="A4" s="10" t="s">
        <v>9</v>
      </c>
      <c r="B4" s="11">
        <v>314400</v>
      </c>
      <c r="C4" s="8"/>
      <c r="D4" s="8"/>
      <c r="E4" s="8" t="s">
        <v>10</v>
      </c>
      <c r="F4" s="12">
        <v>317</v>
      </c>
      <c r="G4" s="13">
        <v>2382</v>
      </c>
      <c r="H4" s="8"/>
      <c r="I4" s="8"/>
      <c r="J4" s="8"/>
      <c r="K4" s="9"/>
    </row>
    <row r="5" spans="1:11" ht="14.25" customHeight="1" x14ac:dyDescent="0.25">
      <c r="A5" s="10"/>
      <c r="B5" s="14"/>
      <c r="C5" s="8"/>
      <c r="D5" s="8"/>
      <c r="E5" s="8" t="s">
        <v>11</v>
      </c>
      <c r="F5" s="12">
        <v>77</v>
      </c>
      <c r="G5" s="13">
        <v>3796</v>
      </c>
      <c r="H5" s="8"/>
      <c r="I5" s="8"/>
      <c r="J5" s="8"/>
      <c r="K5" s="9"/>
    </row>
    <row r="6" spans="1:11" ht="14.25" customHeight="1" x14ac:dyDescent="0.25">
      <c r="A6" s="2" t="s">
        <v>12</v>
      </c>
      <c r="B6" s="2"/>
      <c r="C6" s="8"/>
      <c r="D6" s="8"/>
      <c r="E6" s="8"/>
      <c r="F6" s="8"/>
      <c r="G6" s="15">
        <f>SUMPRODUCT(F4:F5,G4:G5)*12</f>
        <v>12568632</v>
      </c>
      <c r="H6" s="8"/>
      <c r="I6" s="8"/>
      <c r="J6" s="8"/>
      <c r="K6" s="9"/>
    </row>
    <row r="7" spans="1:11" ht="14.25" customHeight="1" x14ac:dyDescent="0.25">
      <c r="A7" s="6" t="s">
        <v>13</v>
      </c>
      <c r="B7" s="16">
        <v>5.3499999999999999E-2</v>
      </c>
      <c r="C7" s="8"/>
      <c r="D7" s="8"/>
      <c r="E7" s="8"/>
      <c r="F7" s="8"/>
      <c r="G7" s="8"/>
      <c r="H7" s="8"/>
      <c r="I7" s="8"/>
      <c r="J7" s="8"/>
      <c r="K7" s="9"/>
    </row>
    <row r="8" spans="1:11" ht="14.25" customHeight="1" x14ac:dyDescent="0.25">
      <c r="A8" s="6" t="s">
        <v>14</v>
      </c>
      <c r="B8" s="17">
        <f>C42</f>
        <v>10558876.156800002</v>
      </c>
      <c r="C8" s="8"/>
      <c r="D8" s="8"/>
      <c r="E8" s="8"/>
      <c r="F8" s="8"/>
      <c r="G8" s="8"/>
      <c r="H8" s="8"/>
      <c r="I8" s="8"/>
      <c r="J8" s="8"/>
      <c r="K8" s="9"/>
    </row>
    <row r="9" spans="1:11" ht="14.25" customHeight="1" x14ac:dyDescent="0.25">
      <c r="A9" s="10" t="s">
        <v>15</v>
      </c>
      <c r="B9" s="18">
        <f>B8/B7</f>
        <v>197362171.15514022</v>
      </c>
      <c r="C9" s="8"/>
      <c r="D9" s="8"/>
      <c r="E9" s="8"/>
      <c r="F9" s="8"/>
      <c r="G9" s="8"/>
      <c r="H9" s="8"/>
      <c r="I9" s="8"/>
      <c r="J9" s="8"/>
      <c r="K9" s="9"/>
    </row>
    <row r="10" spans="1:11" ht="14.25" customHeight="1" x14ac:dyDescent="0.25">
      <c r="A10" s="10"/>
      <c r="B10" s="14"/>
      <c r="C10" s="8"/>
      <c r="D10" s="8"/>
      <c r="E10" s="8"/>
      <c r="F10" s="8"/>
      <c r="G10" s="8"/>
      <c r="H10" s="8"/>
      <c r="I10" s="8"/>
      <c r="J10" s="8"/>
      <c r="K10" s="9"/>
    </row>
    <row r="11" spans="1:11" ht="14.25" customHeight="1" x14ac:dyDescent="0.25">
      <c r="A11" s="2" t="s">
        <v>16</v>
      </c>
      <c r="B11" s="2"/>
      <c r="C11" s="8"/>
      <c r="D11" s="8"/>
      <c r="E11" s="8"/>
      <c r="F11" s="12">
        <v>1</v>
      </c>
      <c r="G11" s="12">
        <v>2</v>
      </c>
      <c r="H11" s="12">
        <v>3</v>
      </c>
      <c r="I11" s="12">
        <v>4</v>
      </c>
      <c r="J11" s="12">
        <v>5</v>
      </c>
      <c r="K11" s="19">
        <v>6</v>
      </c>
    </row>
    <row r="12" spans="1:11" ht="14.25" customHeight="1" x14ac:dyDescent="0.25">
      <c r="A12" s="6" t="s">
        <v>17</v>
      </c>
      <c r="B12" s="20">
        <v>5</v>
      </c>
      <c r="C12" s="8"/>
      <c r="D12" s="8"/>
      <c r="E12" s="8" t="s">
        <v>18</v>
      </c>
      <c r="F12" s="21">
        <v>0.04</v>
      </c>
      <c r="G12" s="21">
        <v>3.6999999999999998E-2</v>
      </c>
      <c r="H12" s="21">
        <v>3.4000000000000002E-2</v>
      </c>
      <c r="I12" s="21">
        <v>3.1E-2</v>
      </c>
      <c r="J12" s="21">
        <v>2.8000000000000001E-2</v>
      </c>
      <c r="K12" s="22">
        <v>2.5000000000000001E-2</v>
      </c>
    </row>
    <row r="13" spans="1:11" ht="14.25" customHeight="1" x14ac:dyDescent="0.25">
      <c r="A13" s="6" t="s">
        <v>19</v>
      </c>
      <c r="B13" s="23">
        <f>B7</f>
        <v>5.3499999999999999E-2</v>
      </c>
      <c r="C13" s="8"/>
      <c r="D13" s="8"/>
      <c r="E13" s="8" t="s">
        <v>20</v>
      </c>
      <c r="F13" s="21">
        <v>6.5000000000000002E-2</v>
      </c>
      <c r="G13" s="21">
        <v>5.8999999999999997E-2</v>
      </c>
      <c r="H13" s="21">
        <v>5.3999999999999999E-2</v>
      </c>
      <c r="I13" s="21">
        <v>5.0999999999999997E-2</v>
      </c>
      <c r="J13" s="21">
        <v>0.05</v>
      </c>
      <c r="K13" s="22">
        <v>4.8000000000000001E-2</v>
      </c>
    </row>
    <row r="14" spans="1:11" ht="14.25" customHeight="1" x14ac:dyDescent="0.25">
      <c r="A14" s="6" t="s">
        <v>21</v>
      </c>
      <c r="B14" s="17">
        <f>(H42/B13)*(1-B15)</f>
        <v>221631372.95502758</v>
      </c>
      <c r="C14" s="8" t="s">
        <v>22</v>
      </c>
      <c r="D14" s="8"/>
      <c r="E14" s="8" t="s">
        <v>23</v>
      </c>
      <c r="F14" s="21">
        <v>2.5000000000000001E-2</v>
      </c>
      <c r="G14" s="21">
        <v>2.5000000000000001E-2</v>
      </c>
      <c r="H14" s="21">
        <v>2.5000000000000001E-2</v>
      </c>
      <c r="I14" s="21">
        <v>2.5000000000000001E-2</v>
      </c>
      <c r="J14" s="21">
        <v>2.5000000000000001E-2</v>
      </c>
      <c r="K14" s="21">
        <v>2.5000000000000001E-2</v>
      </c>
    </row>
    <row r="15" spans="1:11" ht="14.25" customHeight="1" x14ac:dyDescent="0.25">
      <c r="A15" s="10" t="s">
        <v>24</v>
      </c>
      <c r="B15" s="24">
        <v>0.06</v>
      </c>
      <c r="C15" s="8"/>
      <c r="D15" s="8"/>
      <c r="E15" s="8"/>
      <c r="F15" s="8"/>
      <c r="G15" s="8"/>
      <c r="H15" s="8"/>
      <c r="I15" s="8"/>
      <c r="J15" s="8"/>
      <c r="K15" s="9"/>
    </row>
    <row r="16" spans="1:11" ht="28.5" customHeight="1" x14ac:dyDescent="0.25">
      <c r="A16" s="6"/>
      <c r="B16" s="8"/>
      <c r="C16" s="8"/>
      <c r="D16" s="8"/>
      <c r="E16" s="25" t="s">
        <v>25</v>
      </c>
      <c r="F16" s="12" t="s">
        <v>26</v>
      </c>
      <c r="G16" s="12" t="s">
        <v>27</v>
      </c>
      <c r="H16" s="8"/>
      <c r="I16" s="8"/>
      <c r="J16" s="8"/>
      <c r="K16" s="9"/>
    </row>
    <row r="17" spans="1:11" ht="14.25" customHeight="1" x14ac:dyDescent="0.25">
      <c r="A17" s="1" t="s">
        <v>28</v>
      </c>
      <c r="B17" s="1"/>
      <c r="C17" s="8"/>
      <c r="D17" s="8"/>
      <c r="E17" s="8" t="s">
        <v>29</v>
      </c>
      <c r="F17" s="27">
        <v>0.43</v>
      </c>
      <c r="G17" s="28">
        <f t="shared" ref="G17:G24" si="0">$B$4*F17</f>
        <v>135192</v>
      </c>
      <c r="H17" s="8"/>
      <c r="I17" s="8"/>
      <c r="J17" s="8"/>
      <c r="K17" s="9"/>
    </row>
    <row r="18" spans="1:11" ht="14.25" customHeight="1" x14ac:dyDescent="0.25">
      <c r="A18" s="6" t="s">
        <v>30</v>
      </c>
      <c r="B18" s="29">
        <v>0.08</v>
      </c>
      <c r="C18" s="8"/>
      <c r="D18" s="8"/>
      <c r="E18" s="8" t="s">
        <v>31</v>
      </c>
      <c r="F18" s="27">
        <v>0.52</v>
      </c>
      <c r="G18" s="28">
        <f t="shared" si="0"/>
        <v>163488</v>
      </c>
      <c r="H18" s="8"/>
      <c r="I18" s="8"/>
      <c r="J18" s="8"/>
      <c r="K18" s="9"/>
    </row>
    <row r="19" spans="1:11" ht="14.25" customHeight="1" x14ac:dyDescent="0.25">
      <c r="A19" s="6"/>
      <c r="B19" s="8"/>
      <c r="C19" s="8"/>
      <c r="D19" s="8"/>
      <c r="E19" s="8" t="s">
        <v>32</v>
      </c>
      <c r="F19" s="27">
        <v>0.63</v>
      </c>
      <c r="G19" s="28">
        <f t="shared" si="0"/>
        <v>198072</v>
      </c>
      <c r="H19" s="8"/>
      <c r="I19" s="8"/>
      <c r="J19" s="8"/>
      <c r="K19" s="9"/>
    </row>
    <row r="20" spans="1:11" ht="14.25" customHeight="1" x14ac:dyDescent="0.25">
      <c r="A20" s="6"/>
      <c r="B20" s="8"/>
      <c r="C20" s="8"/>
      <c r="D20" s="8"/>
      <c r="E20" s="8" t="s">
        <v>33</v>
      </c>
      <c r="F20" s="27">
        <v>0.12</v>
      </c>
      <c r="G20" s="28">
        <f t="shared" si="0"/>
        <v>37728</v>
      </c>
      <c r="H20" s="8"/>
      <c r="I20" s="8"/>
      <c r="J20" s="8"/>
      <c r="K20" s="9"/>
    </row>
    <row r="21" spans="1:11" ht="14.25" customHeight="1" x14ac:dyDescent="0.25">
      <c r="A21" s="6"/>
      <c r="B21" s="8"/>
      <c r="C21" s="8"/>
      <c r="D21" s="8"/>
      <c r="E21" s="8" t="s">
        <v>34</v>
      </c>
      <c r="F21" s="27">
        <v>0.49</v>
      </c>
      <c r="G21" s="28">
        <f t="shared" si="0"/>
        <v>154056</v>
      </c>
      <c r="H21" s="8"/>
      <c r="I21" s="8"/>
      <c r="J21" s="8"/>
      <c r="K21" s="9"/>
    </row>
    <row r="22" spans="1:11" ht="14.25" customHeight="1" x14ac:dyDescent="0.25">
      <c r="A22" s="6"/>
      <c r="B22" s="8"/>
      <c r="C22" s="8"/>
      <c r="D22" s="8"/>
      <c r="E22" s="8" t="s">
        <v>35</v>
      </c>
      <c r="F22" s="27">
        <v>1</v>
      </c>
      <c r="G22" s="28">
        <f t="shared" si="0"/>
        <v>314400</v>
      </c>
      <c r="H22" s="8"/>
      <c r="I22" s="8"/>
      <c r="J22" s="8"/>
      <c r="K22" s="9"/>
    </row>
    <row r="23" spans="1:11" ht="14.25" customHeight="1" x14ac:dyDescent="0.25">
      <c r="A23" s="6"/>
      <c r="B23" s="8"/>
      <c r="C23" s="8"/>
      <c r="D23" s="8"/>
      <c r="E23" s="8" t="s">
        <v>36</v>
      </c>
      <c r="F23" s="27">
        <v>0.18</v>
      </c>
      <c r="G23" s="28">
        <f t="shared" si="0"/>
        <v>56592</v>
      </c>
      <c r="H23" s="8"/>
      <c r="I23" s="8"/>
      <c r="J23" s="8"/>
      <c r="K23" s="9"/>
    </row>
    <row r="24" spans="1:11" ht="14.25" customHeight="1" x14ac:dyDescent="0.25">
      <c r="A24" s="6"/>
      <c r="B24" s="8"/>
      <c r="C24" s="8"/>
      <c r="D24" s="8"/>
      <c r="E24" s="8" t="s">
        <v>37</v>
      </c>
      <c r="F24" s="27">
        <v>1.79</v>
      </c>
      <c r="G24" s="28">
        <f t="shared" si="0"/>
        <v>562776</v>
      </c>
      <c r="H24" s="8"/>
      <c r="I24" s="8"/>
      <c r="J24" s="8"/>
      <c r="K24" s="9"/>
    </row>
    <row r="25" spans="1:11" ht="14.25" customHeight="1" x14ac:dyDescent="0.25">
      <c r="A25" s="6"/>
      <c r="B25" s="8"/>
      <c r="C25" s="8"/>
      <c r="D25" s="8"/>
      <c r="E25" s="8"/>
      <c r="F25" s="30"/>
      <c r="G25" s="28"/>
      <c r="H25" s="8"/>
      <c r="I25" s="8"/>
      <c r="J25" s="8"/>
      <c r="K25" s="9"/>
    </row>
    <row r="26" spans="1:11" ht="14.25" customHeight="1" x14ac:dyDescent="0.25">
      <c r="A26" s="6"/>
      <c r="B26" s="8"/>
      <c r="C26" s="8"/>
      <c r="D26" s="8"/>
      <c r="E26" s="8" t="s">
        <v>38</v>
      </c>
      <c r="F26" s="27">
        <v>1.17</v>
      </c>
      <c r="G26" s="28">
        <f>$B$4*F26</f>
        <v>367848</v>
      </c>
      <c r="H26" s="8"/>
      <c r="I26" s="8"/>
      <c r="J26" s="8"/>
      <c r="K26" s="9"/>
    </row>
    <row r="27" spans="1:11" ht="14.25" customHeight="1" x14ac:dyDescent="0.25">
      <c r="A27" s="6"/>
      <c r="B27" s="8"/>
      <c r="C27" s="8"/>
      <c r="D27" s="8"/>
      <c r="E27" s="8"/>
      <c r="F27" s="31"/>
      <c r="G27" s="8"/>
      <c r="H27" s="8"/>
      <c r="I27" s="8"/>
      <c r="J27" s="8"/>
      <c r="K27" s="9"/>
    </row>
    <row r="28" spans="1:11" ht="14.25" customHeight="1" x14ac:dyDescent="0.25">
      <c r="A28" s="32" t="s">
        <v>39</v>
      </c>
      <c r="B28" s="33">
        <v>0</v>
      </c>
      <c r="C28" s="33">
        <v>1</v>
      </c>
      <c r="D28" s="33">
        <v>2</v>
      </c>
      <c r="E28" s="33">
        <v>3</v>
      </c>
      <c r="F28" s="33">
        <v>4</v>
      </c>
      <c r="G28" s="33">
        <v>5</v>
      </c>
      <c r="H28" s="33">
        <v>6</v>
      </c>
      <c r="I28" s="8"/>
      <c r="J28" s="8"/>
      <c r="K28" s="9"/>
    </row>
    <row r="29" spans="1:11" ht="15" customHeight="1" x14ac:dyDescent="0.25">
      <c r="A29" s="34" t="s">
        <v>40</v>
      </c>
      <c r="B29" s="8"/>
      <c r="C29" s="15">
        <f>G6*(1+F12)</f>
        <v>13071377.280000001</v>
      </c>
      <c r="D29" s="15">
        <f>C29*(1+G12)</f>
        <v>13555018.239360001</v>
      </c>
      <c r="E29" s="15">
        <f>D29*(1+H$12)</f>
        <v>14015888.859498242</v>
      </c>
      <c r="F29" s="15">
        <f>E29*(1+I$12)</f>
        <v>14450381.414142687</v>
      </c>
      <c r="G29" s="15">
        <f>F29*(1+J$12)</f>
        <v>14854992.093738683</v>
      </c>
      <c r="H29" s="15">
        <f>G29*(1+K$12)</f>
        <v>15226366.896082148</v>
      </c>
      <c r="I29" s="8"/>
      <c r="J29" s="8"/>
      <c r="K29" s="9"/>
    </row>
    <row r="30" spans="1:11" ht="15" customHeight="1" x14ac:dyDescent="0.25">
      <c r="A30" s="35" t="s">
        <v>41</v>
      </c>
      <c r="B30" s="8"/>
      <c r="C30" s="15">
        <f t="shared" ref="C30:H30" si="1">-C29*F13</f>
        <v>-849639.52320000005</v>
      </c>
      <c r="D30" s="15">
        <f t="shared" si="1"/>
        <v>-799746.07612224005</v>
      </c>
      <c r="E30" s="15">
        <f t="shared" si="1"/>
        <v>-756857.99841290503</v>
      </c>
      <c r="F30" s="15">
        <f t="shared" si="1"/>
        <v>-736969.45212127699</v>
      </c>
      <c r="G30" s="15">
        <f t="shared" si="1"/>
        <v>-742749.60468693415</v>
      </c>
      <c r="H30" s="15">
        <f t="shared" si="1"/>
        <v>-730865.61101194308</v>
      </c>
      <c r="I30" s="8"/>
      <c r="J30" s="8"/>
      <c r="K30" s="9"/>
    </row>
    <row r="31" spans="1:11" ht="15" customHeight="1" x14ac:dyDescent="0.25">
      <c r="A31" s="34" t="s">
        <v>42</v>
      </c>
      <c r="B31" s="8"/>
      <c r="C31" s="36">
        <f t="shared" ref="C31:H31" si="2">C29+C30</f>
        <v>12221737.756800001</v>
      </c>
      <c r="D31" s="36">
        <f t="shared" si="2"/>
        <v>12755272.163237762</v>
      </c>
      <c r="E31" s="36">
        <f t="shared" si="2"/>
        <v>13259030.861085337</v>
      </c>
      <c r="F31" s="36">
        <f t="shared" si="2"/>
        <v>13713411.96202141</v>
      </c>
      <c r="G31" s="36">
        <f t="shared" si="2"/>
        <v>14112242.489051748</v>
      </c>
      <c r="H31" s="36">
        <f t="shared" si="2"/>
        <v>14495501.285070205</v>
      </c>
      <c r="I31" s="8"/>
      <c r="J31" s="8"/>
      <c r="K31" s="9"/>
    </row>
    <row r="32" spans="1:11" ht="14.25" customHeight="1" x14ac:dyDescent="0.25">
      <c r="A32" s="8" t="s">
        <v>29</v>
      </c>
      <c r="B32" s="8"/>
      <c r="C32" s="15">
        <f t="shared" ref="C32:C39" si="3">-$G17*(1+F$14)</f>
        <v>-138571.79999999999</v>
      </c>
      <c r="D32" s="15">
        <f t="shared" ref="D32:H39" si="4">C32*(1+G$14)</f>
        <v>-142036.09499999997</v>
      </c>
      <c r="E32" s="15">
        <f t="shared" si="4"/>
        <v>-145586.99737499995</v>
      </c>
      <c r="F32" s="15">
        <f t="shared" si="4"/>
        <v>-149226.67230937493</v>
      </c>
      <c r="G32" s="15">
        <f t="shared" si="4"/>
        <v>-152957.33911710928</v>
      </c>
      <c r="H32" s="15">
        <f t="shared" si="4"/>
        <v>-156781.27259503701</v>
      </c>
      <c r="I32" s="8"/>
      <c r="J32" s="8"/>
      <c r="K32" s="9"/>
    </row>
    <row r="33" spans="1:11" ht="14.25" customHeight="1" x14ac:dyDescent="0.25">
      <c r="A33" s="8" t="s">
        <v>31</v>
      </c>
      <c r="B33" s="8"/>
      <c r="C33" s="15">
        <f t="shared" si="3"/>
        <v>-167575.19999999998</v>
      </c>
      <c r="D33" s="15">
        <f t="shared" si="4"/>
        <v>-171764.57999999996</v>
      </c>
      <c r="E33" s="15">
        <f t="shared" si="4"/>
        <v>-176058.69449999995</v>
      </c>
      <c r="F33" s="15">
        <f t="shared" si="4"/>
        <v>-180460.16186249992</v>
      </c>
      <c r="G33" s="15">
        <f t="shared" si="4"/>
        <v>-184971.6659090624</v>
      </c>
      <c r="H33" s="15">
        <f t="shared" si="4"/>
        <v>-189595.95755678896</v>
      </c>
      <c r="I33" s="8"/>
      <c r="J33" s="8"/>
      <c r="K33" s="9"/>
    </row>
    <row r="34" spans="1:11" ht="14.25" customHeight="1" x14ac:dyDescent="0.25">
      <c r="A34" s="8" t="s">
        <v>32</v>
      </c>
      <c r="B34" s="8"/>
      <c r="C34" s="15">
        <f t="shared" si="3"/>
        <v>-203023.8</v>
      </c>
      <c r="D34" s="15">
        <f t="shared" si="4"/>
        <v>-208099.39499999996</v>
      </c>
      <c r="E34" s="15">
        <f t="shared" si="4"/>
        <v>-213301.87987499996</v>
      </c>
      <c r="F34" s="15">
        <f t="shared" si="4"/>
        <v>-218634.42687187492</v>
      </c>
      <c r="G34" s="15">
        <f t="shared" si="4"/>
        <v>-224100.28754367179</v>
      </c>
      <c r="H34" s="15">
        <f t="shared" si="4"/>
        <v>-229702.79473226357</v>
      </c>
      <c r="I34" s="8"/>
      <c r="J34" s="8"/>
      <c r="K34" s="9"/>
    </row>
    <row r="35" spans="1:11" ht="14.25" customHeight="1" x14ac:dyDescent="0.25">
      <c r="A35" s="8" t="s">
        <v>33</v>
      </c>
      <c r="B35" s="8"/>
      <c r="C35" s="15">
        <f t="shared" si="3"/>
        <v>-38671.199999999997</v>
      </c>
      <c r="D35" s="15">
        <f t="shared" si="4"/>
        <v>-39637.979999999996</v>
      </c>
      <c r="E35" s="15">
        <f t="shared" si="4"/>
        <v>-40628.929499999991</v>
      </c>
      <c r="F35" s="15">
        <f t="shared" si="4"/>
        <v>-41644.652737499986</v>
      </c>
      <c r="G35" s="15">
        <f t="shared" si="4"/>
        <v>-42685.769055937482</v>
      </c>
      <c r="H35" s="15">
        <f t="shared" si="4"/>
        <v>-43752.913282335918</v>
      </c>
      <c r="I35" s="8"/>
      <c r="J35" s="8"/>
      <c r="K35" s="9"/>
    </row>
    <row r="36" spans="1:11" ht="14.25" customHeight="1" x14ac:dyDescent="0.25">
      <c r="A36" s="8" t="s">
        <v>34</v>
      </c>
      <c r="B36" s="8"/>
      <c r="C36" s="15">
        <f t="shared" si="3"/>
        <v>-157907.4</v>
      </c>
      <c r="D36" s="15">
        <f t="shared" si="4"/>
        <v>-161855.08499999999</v>
      </c>
      <c r="E36" s="15">
        <f t="shared" si="4"/>
        <v>-165901.46212499999</v>
      </c>
      <c r="F36" s="15">
        <f t="shared" si="4"/>
        <v>-170048.99867812498</v>
      </c>
      <c r="G36" s="15">
        <f t="shared" si="4"/>
        <v>-174300.22364507808</v>
      </c>
      <c r="H36" s="15">
        <f t="shared" si="4"/>
        <v>-178657.72923620502</v>
      </c>
      <c r="I36" s="8"/>
      <c r="J36" s="8"/>
      <c r="K36" s="9"/>
    </row>
    <row r="37" spans="1:11" ht="14.25" customHeight="1" x14ac:dyDescent="0.25">
      <c r="A37" s="8" t="s">
        <v>35</v>
      </c>
      <c r="B37" s="8"/>
      <c r="C37" s="15">
        <f t="shared" si="3"/>
        <v>-322260</v>
      </c>
      <c r="D37" s="15">
        <f t="shared" si="4"/>
        <v>-330316.5</v>
      </c>
      <c r="E37" s="15">
        <f t="shared" si="4"/>
        <v>-338574.41249999998</v>
      </c>
      <c r="F37" s="15">
        <f t="shared" si="4"/>
        <v>-347038.77281249996</v>
      </c>
      <c r="G37" s="15">
        <f t="shared" si="4"/>
        <v>-355714.74213281245</v>
      </c>
      <c r="H37" s="15">
        <f t="shared" si="4"/>
        <v>-364607.61068613274</v>
      </c>
      <c r="I37" s="8"/>
      <c r="J37" s="8"/>
      <c r="K37" s="9"/>
    </row>
    <row r="38" spans="1:11" ht="14.25" customHeight="1" x14ac:dyDescent="0.25">
      <c r="A38" s="8" t="s">
        <v>36</v>
      </c>
      <c r="B38" s="8"/>
      <c r="C38" s="15">
        <f t="shared" si="3"/>
        <v>-58006.799999999996</v>
      </c>
      <c r="D38" s="15">
        <f t="shared" si="4"/>
        <v>-59456.969999999994</v>
      </c>
      <c r="E38" s="15">
        <f t="shared" si="4"/>
        <v>-60943.39424999999</v>
      </c>
      <c r="F38" s="15">
        <f t="shared" si="4"/>
        <v>-62466.979106249986</v>
      </c>
      <c r="G38" s="15">
        <f t="shared" si="4"/>
        <v>-64028.653583906227</v>
      </c>
      <c r="H38" s="15">
        <f t="shared" si="4"/>
        <v>-65629.36992350388</v>
      </c>
      <c r="I38" s="8"/>
      <c r="J38" s="8"/>
      <c r="K38" s="9"/>
    </row>
    <row r="39" spans="1:11" ht="14.25" customHeight="1" x14ac:dyDescent="0.25">
      <c r="A39" s="8" t="s">
        <v>37</v>
      </c>
      <c r="B39" s="8"/>
      <c r="C39" s="15">
        <f t="shared" si="3"/>
        <v>-576845.39999999991</v>
      </c>
      <c r="D39" s="15">
        <f t="shared" si="4"/>
        <v>-591266.5349999998</v>
      </c>
      <c r="E39" s="15">
        <f t="shared" si="4"/>
        <v>-606048.19837499969</v>
      </c>
      <c r="F39" s="15">
        <f t="shared" si="4"/>
        <v>-621199.40333437466</v>
      </c>
      <c r="G39" s="15">
        <f t="shared" si="4"/>
        <v>-636729.38841773395</v>
      </c>
      <c r="H39" s="15">
        <f t="shared" si="4"/>
        <v>-652647.62312817725</v>
      </c>
      <c r="I39" s="8"/>
      <c r="J39" s="8"/>
      <c r="K39" s="9"/>
    </row>
    <row r="40" spans="1:11" ht="15" customHeight="1" x14ac:dyDescent="0.25">
      <c r="A40" s="35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spans="1:11" ht="15" customHeight="1" x14ac:dyDescent="0.25">
      <c r="A41" s="34" t="s">
        <v>43</v>
      </c>
      <c r="B41" s="8"/>
      <c r="C41" s="15">
        <f t="shared" ref="C41:H41" si="5">SUM(C32:C40)</f>
        <v>-1662861.5999999999</v>
      </c>
      <c r="D41" s="15">
        <f t="shared" si="5"/>
        <v>-1704433.1399999997</v>
      </c>
      <c r="E41" s="15">
        <f t="shared" si="5"/>
        <v>-1747043.9684999995</v>
      </c>
      <c r="F41" s="15">
        <f t="shared" si="5"/>
        <v>-1790720.0677124993</v>
      </c>
      <c r="G41" s="15">
        <f t="shared" si="5"/>
        <v>-1835488.0694053117</v>
      </c>
      <c r="H41" s="15">
        <f t="shared" si="5"/>
        <v>-1881375.2711404441</v>
      </c>
      <c r="I41" s="8"/>
      <c r="J41" s="8"/>
      <c r="K41" s="9"/>
    </row>
    <row r="42" spans="1:11" ht="15" customHeight="1" x14ac:dyDescent="0.25">
      <c r="A42" s="34" t="s">
        <v>44</v>
      </c>
      <c r="B42" s="8"/>
      <c r="C42" s="15">
        <f t="shared" ref="C42:H42" si="6">C31+C41</f>
        <v>10558876.156800002</v>
      </c>
      <c r="D42" s="15">
        <f t="shared" si="6"/>
        <v>11050839.023237761</v>
      </c>
      <c r="E42" s="15">
        <f t="shared" si="6"/>
        <v>11511986.892585337</v>
      </c>
      <c r="F42" s="15">
        <f t="shared" si="6"/>
        <v>11922691.894308912</v>
      </c>
      <c r="G42" s="15">
        <f t="shared" si="6"/>
        <v>12276754.419646436</v>
      </c>
      <c r="H42" s="15">
        <f t="shared" si="6"/>
        <v>12614126.013929762</v>
      </c>
      <c r="I42" s="8"/>
      <c r="J42" s="8"/>
      <c r="K42" s="9"/>
    </row>
    <row r="43" spans="1:11" ht="15" customHeight="1" x14ac:dyDescent="0.25">
      <c r="A43" s="35" t="s">
        <v>45</v>
      </c>
      <c r="B43" s="8"/>
      <c r="C43" s="15">
        <f>-G26*(1+F14)</f>
        <v>-377044.19999999995</v>
      </c>
      <c r="D43" s="15">
        <f>C43*(1+G$14)</f>
        <v>-386470.30499999993</v>
      </c>
      <c r="E43" s="15">
        <f>D43*(1+H$14)</f>
        <v>-396132.0626249999</v>
      </c>
      <c r="F43" s="15">
        <f>E43*(1+I$14)</f>
        <v>-406035.36419062485</v>
      </c>
      <c r="G43" s="15">
        <f>F43*(1+J$14)</f>
        <v>-416186.24829539045</v>
      </c>
      <c r="H43" s="15">
        <f>G43*(1+K$14)</f>
        <v>-426590.90450277517</v>
      </c>
      <c r="I43" s="8"/>
      <c r="J43" s="8"/>
      <c r="K43" s="9"/>
    </row>
    <row r="44" spans="1:11" ht="15" customHeight="1" x14ac:dyDescent="0.25">
      <c r="A44" s="34" t="s">
        <v>46</v>
      </c>
      <c r="B44" s="8"/>
      <c r="C44" s="15">
        <f t="shared" ref="C44:H44" si="7">C42+C43</f>
        <v>10181831.956800003</v>
      </c>
      <c r="D44" s="15">
        <f t="shared" si="7"/>
        <v>10664368.718237761</v>
      </c>
      <c r="E44" s="15">
        <f t="shared" si="7"/>
        <v>11115854.829960337</v>
      </c>
      <c r="F44" s="15">
        <f t="shared" si="7"/>
        <v>11516656.530118287</v>
      </c>
      <c r="G44" s="15">
        <f t="shared" si="7"/>
        <v>11860568.171351045</v>
      </c>
      <c r="H44" s="15">
        <f t="shared" si="7"/>
        <v>12187535.109426986</v>
      </c>
      <c r="I44" s="8"/>
      <c r="J44" s="8"/>
      <c r="K44" s="9"/>
    </row>
    <row r="45" spans="1:11" ht="14.25" customHeight="1" x14ac:dyDescent="0.25">
      <c r="A45" s="6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spans="1:11" ht="15" customHeight="1" x14ac:dyDescent="0.25">
      <c r="A46" s="26" t="s">
        <v>47</v>
      </c>
      <c r="B46" s="8"/>
      <c r="C46" s="8"/>
      <c r="D46" s="8"/>
      <c r="E46" s="8"/>
      <c r="F46" s="8"/>
      <c r="G46" s="8"/>
      <c r="H46" s="8"/>
      <c r="I46" s="8"/>
      <c r="J46" s="8"/>
      <c r="K46" s="9"/>
    </row>
    <row r="47" spans="1:11" ht="15" customHeight="1" x14ac:dyDescent="0.25">
      <c r="A47" s="35" t="s">
        <v>15</v>
      </c>
      <c r="B47" s="28">
        <f>-B9</f>
        <v>-197362171.15514022</v>
      </c>
      <c r="C47" s="8"/>
      <c r="D47" s="8"/>
      <c r="E47" s="8"/>
      <c r="F47" s="8"/>
      <c r="G47" s="8"/>
      <c r="H47" s="8"/>
      <c r="I47" s="8"/>
      <c r="J47" s="8"/>
      <c r="K47" s="9"/>
    </row>
    <row r="48" spans="1:11" ht="15" customHeight="1" x14ac:dyDescent="0.25">
      <c r="A48" s="35" t="s">
        <v>48</v>
      </c>
      <c r="B48" s="8"/>
      <c r="C48" s="28">
        <f>C44</f>
        <v>10181831.956800003</v>
      </c>
      <c r="D48" s="28">
        <f>D44</f>
        <v>10664368.718237761</v>
      </c>
      <c r="E48" s="28">
        <f>E44</f>
        <v>11115854.829960337</v>
      </c>
      <c r="F48" s="28">
        <f>F44</f>
        <v>11516656.530118287</v>
      </c>
      <c r="G48" s="28">
        <f>G44</f>
        <v>11860568.171351045</v>
      </c>
      <c r="H48" s="8"/>
      <c r="I48" s="8"/>
      <c r="J48" s="8"/>
      <c r="K48" s="9"/>
    </row>
    <row r="49" spans="1:11" ht="15" customHeight="1" x14ac:dyDescent="0.25">
      <c r="A49" s="35" t="s">
        <v>49</v>
      </c>
      <c r="B49" s="8"/>
      <c r="C49" s="8"/>
      <c r="D49" s="8"/>
      <c r="E49" s="8"/>
      <c r="F49" s="8"/>
      <c r="G49" s="28">
        <f>$B$14</f>
        <v>221631372.95502758</v>
      </c>
      <c r="H49" s="8"/>
      <c r="I49" s="8"/>
      <c r="J49" s="8"/>
      <c r="K49" s="9"/>
    </row>
    <row r="50" spans="1:11" ht="15" customHeight="1" x14ac:dyDescent="0.25">
      <c r="A50" s="35" t="s">
        <v>50</v>
      </c>
      <c r="B50" s="28">
        <f>B47</f>
        <v>-197362171.15514022</v>
      </c>
      <c r="C50" s="28">
        <f>SUM(C48:C49)</f>
        <v>10181831.956800003</v>
      </c>
      <c r="D50" s="28">
        <f>SUM(D48:D49)</f>
        <v>10664368.718237761</v>
      </c>
      <c r="E50" s="28">
        <f>SUM(E48:E49)</f>
        <v>11115854.829960337</v>
      </c>
      <c r="F50" s="28">
        <f>SUM(F48:F49)</f>
        <v>11516656.530118287</v>
      </c>
      <c r="G50" s="28">
        <f>SUM(G48:G49)</f>
        <v>233491941.12637863</v>
      </c>
      <c r="H50" s="8"/>
      <c r="I50" s="8"/>
      <c r="J50" s="8"/>
      <c r="K50" s="9"/>
    </row>
    <row r="51" spans="1:11" ht="15" customHeight="1" x14ac:dyDescent="0.25">
      <c r="A51" s="34" t="s">
        <v>51</v>
      </c>
      <c r="B51" s="37">
        <f>IRR(B50:G50)</f>
        <v>7.6855399373238376E-2</v>
      </c>
      <c r="C51" s="8"/>
      <c r="D51" s="8"/>
      <c r="E51" s="8"/>
      <c r="F51" s="8"/>
      <c r="G51" s="8"/>
      <c r="H51" s="8"/>
      <c r="I51" s="8"/>
      <c r="J51" s="8"/>
      <c r="K51" s="9"/>
    </row>
    <row r="52" spans="1:11" ht="14.25" customHeight="1" x14ac:dyDescent="0.25">
      <c r="A52" s="6"/>
      <c r="B52" s="8"/>
      <c r="C52" s="8"/>
      <c r="D52" s="8"/>
      <c r="E52" s="8"/>
      <c r="F52" s="8"/>
      <c r="G52" s="8"/>
      <c r="H52" s="8"/>
      <c r="I52" s="8"/>
      <c r="J52" s="8"/>
      <c r="K52" s="9"/>
    </row>
    <row r="53" spans="1:11" ht="15" customHeight="1" x14ac:dyDescent="0.25">
      <c r="A53" s="26" t="s">
        <v>52</v>
      </c>
      <c r="B53" s="8"/>
      <c r="C53" s="8"/>
      <c r="D53" s="8"/>
      <c r="E53" s="8"/>
      <c r="F53" s="8"/>
      <c r="G53" s="8"/>
      <c r="H53" s="8"/>
      <c r="I53" s="8"/>
      <c r="J53" s="8"/>
      <c r="K53" s="9"/>
    </row>
    <row r="54" spans="1:11" ht="15" customHeight="1" x14ac:dyDescent="0.25">
      <c r="A54" s="35" t="s">
        <v>48</v>
      </c>
      <c r="B54" s="8"/>
      <c r="C54" s="28">
        <f>C48</f>
        <v>10181831.956800003</v>
      </c>
      <c r="D54" s="28">
        <f>D48</f>
        <v>10664368.718237761</v>
      </c>
      <c r="E54" s="28">
        <f>E48</f>
        <v>11115854.829960337</v>
      </c>
      <c r="F54" s="28">
        <f>F48</f>
        <v>11516656.530118287</v>
      </c>
      <c r="G54" s="28">
        <f>G48</f>
        <v>11860568.171351045</v>
      </c>
      <c r="H54" s="8"/>
      <c r="I54" s="8"/>
      <c r="J54" s="8"/>
      <c r="K54" s="9"/>
    </row>
    <row r="55" spans="1:11" ht="15" customHeight="1" x14ac:dyDescent="0.25">
      <c r="A55" s="35" t="s">
        <v>49</v>
      </c>
      <c r="B55" s="8"/>
      <c r="C55" s="8"/>
      <c r="D55" s="8"/>
      <c r="E55" s="8"/>
      <c r="F55" s="8"/>
      <c r="G55" s="28">
        <f>G49</f>
        <v>221631372.95502758</v>
      </c>
      <c r="H55" s="8"/>
      <c r="I55" s="8"/>
      <c r="J55" s="8"/>
      <c r="K55" s="9"/>
    </row>
    <row r="56" spans="1:11" ht="15" customHeight="1" x14ac:dyDescent="0.25">
      <c r="A56" s="35" t="s">
        <v>50</v>
      </c>
      <c r="B56" s="8"/>
      <c r="C56" s="28">
        <f>SUM(C54:C55)</f>
        <v>10181831.956800003</v>
      </c>
      <c r="D56" s="28">
        <f>SUM(D54:D55)</f>
        <v>10664368.718237761</v>
      </c>
      <c r="E56" s="28">
        <f>SUM(E54:E55)</f>
        <v>11115854.829960337</v>
      </c>
      <c r="F56" s="28">
        <f>SUM(F54:F55)</f>
        <v>11516656.530118287</v>
      </c>
      <c r="G56" s="28">
        <f>SUM(G54:G55)</f>
        <v>233491941.12637863</v>
      </c>
      <c r="H56" s="8"/>
      <c r="I56" s="8"/>
      <c r="J56" s="8"/>
      <c r="K56" s="9"/>
    </row>
    <row r="57" spans="1:11" ht="45" customHeight="1" x14ac:dyDescent="0.25">
      <c r="A57" s="38" t="s">
        <v>53</v>
      </c>
      <c r="B57" s="39">
        <f>NPV(B18,C56:G56)</f>
        <v>194770501.55634946</v>
      </c>
      <c r="C57" s="8"/>
      <c r="D57" s="8"/>
      <c r="E57" s="8"/>
      <c r="F57" s="8"/>
      <c r="G57" s="8"/>
      <c r="H57" s="8"/>
      <c r="I57" s="8"/>
      <c r="J57" s="8"/>
      <c r="K57" s="9"/>
    </row>
    <row r="58" spans="1:11" ht="14.25" customHeight="1" x14ac:dyDescent="0.25">
      <c r="A58" s="6"/>
      <c r="B58" s="8"/>
      <c r="C58" s="8"/>
      <c r="D58" s="8"/>
      <c r="E58" s="8"/>
      <c r="F58" s="8"/>
      <c r="G58" s="8"/>
      <c r="H58" s="8"/>
      <c r="I58" s="8"/>
      <c r="J58" s="8"/>
      <c r="K58" s="9"/>
    </row>
    <row r="59" spans="1:11" ht="14.25" customHeight="1" x14ac:dyDescent="0.25">
      <c r="A59" s="6"/>
      <c r="B59" s="8"/>
      <c r="C59" s="8"/>
      <c r="D59" s="8"/>
      <c r="E59" s="8"/>
      <c r="F59" s="8"/>
      <c r="G59" s="8"/>
      <c r="H59" s="8"/>
      <c r="I59" s="8"/>
      <c r="J59" s="8"/>
      <c r="K59" s="9"/>
    </row>
    <row r="60" spans="1:11" ht="14.25" customHeight="1" x14ac:dyDescent="0.25">
      <c r="A60" s="6"/>
      <c r="B60" s="8"/>
      <c r="C60" s="8"/>
      <c r="D60" s="8"/>
      <c r="E60" s="8"/>
      <c r="F60" s="8"/>
      <c r="G60" s="8"/>
      <c r="H60" s="8"/>
      <c r="I60" s="8"/>
      <c r="J60" s="8"/>
      <c r="K60" s="9"/>
    </row>
    <row r="61" spans="1:11" ht="14.25" customHeight="1" x14ac:dyDescent="0.25">
      <c r="A61" s="6"/>
      <c r="B61" s="8"/>
      <c r="C61" s="8"/>
      <c r="D61" s="8"/>
      <c r="E61" s="8"/>
      <c r="F61" s="8"/>
      <c r="G61" s="8"/>
      <c r="H61" s="8"/>
      <c r="I61" s="8"/>
      <c r="J61" s="8"/>
      <c r="K61" s="9"/>
    </row>
    <row r="62" spans="1:11" ht="14.25" customHeight="1" x14ac:dyDescent="0.25">
      <c r="A62" s="6"/>
      <c r="B62" s="8"/>
      <c r="C62" s="8"/>
      <c r="D62" s="8"/>
      <c r="E62" s="8"/>
      <c r="F62" s="8"/>
      <c r="G62" s="8"/>
      <c r="H62" s="8"/>
      <c r="I62" s="8"/>
      <c r="J62" s="8"/>
      <c r="K62" s="9"/>
    </row>
    <row r="63" spans="1:11" ht="14.25" customHeight="1" x14ac:dyDescent="0.25">
      <c r="A63" s="6"/>
      <c r="B63" s="8"/>
      <c r="C63" s="8"/>
      <c r="D63" s="8"/>
      <c r="E63" s="8"/>
      <c r="F63" s="8"/>
      <c r="G63" s="8"/>
      <c r="H63" s="8"/>
      <c r="I63" s="8"/>
      <c r="J63" s="8"/>
      <c r="K63" s="9"/>
    </row>
    <row r="64" spans="1:11" ht="14.25" customHeight="1" x14ac:dyDescent="0.25">
      <c r="A64" s="6"/>
      <c r="B64" s="8"/>
      <c r="C64" s="8"/>
      <c r="D64" s="8"/>
      <c r="E64" s="8"/>
      <c r="F64" s="8"/>
      <c r="G64" s="8"/>
      <c r="H64" s="8"/>
      <c r="I64" s="8"/>
      <c r="J64" s="8"/>
      <c r="K64" s="9"/>
    </row>
    <row r="65" spans="1:11" ht="14.25" customHeight="1" x14ac:dyDescent="0.25">
      <c r="A65" s="6"/>
      <c r="B65" s="8"/>
      <c r="C65" s="8"/>
      <c r="D65" s="8"/>
      <c r="E65" s="8"/>
      <c r="F65" s="8"/>
      <c r="G65" s="8"/>
      <c r="H65" s="8"/>
      <c r="I65" s="8"/>
      <c r="J65" s="8"/>
      <c r="K65" s="9"/>
    </row>
    <row r="66" spans="1:11" ht="14.25" customHeight="1" x14ac:dyDescent="0.25">
      <c r="A66" s="6"/>
      <c r="B66" s="8"/>
      <c r="C66" s="8"/>
      <c r="D66" s="8"/>
      <c r="E66" s="8"/>
      <c r="F66" s="8"/>
      <c r="G66" s="8"/>
      <c r="H66" s="8"/>
      <c r="I66" s="8"/>
      <c r="J66" s="8"/>
      <c r="K66" s="9"/>
    </row>
    <row r="67" spans="1:11" ht="15" customHeight="1" x14ac:dyDescent="0.25">
      <c r="A67" s="35"/>
      <c r="B67" s="8"/>
      <c r="C67" s="8"/>
      <c r="D67" s="8"/>
      <c r="E67" s="8"/>
      <c r="F67" s="8"/>
      <c r="G67" s="8"/>
      <c r="H67" s="8"/>
      <c r="I67" s="8"/>
      <c r="J67" s="8"/>
      <c r="K67" s="9"/>
    </row>
    <row r="68" spans="1:11" ht="15" customHeight="1" x14ac:dyDescent="0.25">
      <c r="A68" s="35"/>
      <c r="B68" s="8"/>
      <c r="C68" s="8"/>
      <c r="D68" s="8"/>
      <c r="E68" s="8"/>
      <c r="F68" s="8"/>
      <c r="G68" s="8"/>
      <c r="H68" s="8"/>
      <c r="I68" s="8"/>
      <c r="J68" s="8"/>
      <c r="K68" s="9"/>
    </row>
    <row r="69" spans="1:11" ht="15" customHeight="1" x14ac:dyDescent="0.25">
      <c r="A69" s="35"/>
      <c r="B69" s="8"/>
      <c r="C69" s="8"/>
      <c r="D69" s="8"/>
      <c r="E69" s="8"/>
      <c r="F69" s="8"/>
      <c r="G69" s="8"/>
      <c r="H69" s="8"/>
      <c r="I69" s="8"/>
      <c r="J69" s="8"/>
      <c r="K69" s="9"/>
    </row>
    <row r="70" spans="1:11" ht="15" customHeight="1" x14ac:dyDescent="0.25">
      <c r="A70" s="35"/>
      <c r="B70" s="8"/>
      <c r="C70" s="8"/>
      <c r="D70" s="8"/>
      <c r="E70" s="8"/>
      <c r="F70" s="8"/>
      <c r="G70" s="8"/>
      <c r="H70" s="8"/>
      <c r="I70" s="8"/>
      <c r="J70" s="8"/>
      <c r="K70" s="9"/>
    </row>
    <row r="71" spans="1:11" ht="15" customHeight="1" x14ac:dyDescent="0.25">
      <c r="A71" s="35"/>
      <c r="B71" s="8"/>
      <c r="C71" s="8"/>
      <c r="D71" s="8"/>
      <c r="E71" s="8"/>
      <c r="F71" s="8"/>
      <c r="G71" s="8"/>
      <c r="H71" s="8"/>
      <c r="I71" s="8"/>
      <c r="J71" s="8"/>
      <c r="K71" s="9"/>
    </row>
    <row r="72" spans="1:11" ht="15" customHeight="1" x14ac:dyDescent="0.25">
      <c r="A72" s="35"/>
      <c r="B72" s="8"/>
      <c r="C72" s="8"/>
      <c r="D72" s="8"/>
      <c r="E72" s="8"/>
      <c r="F72" s="8"/>
      <c r="G72" s="8"/>
      <c r="H72" s="8"/>
      <c r="I72" s="8"/>
      <c r="J72" s="8"/>
      <c r="K72" s="9"/>
    </row>
    <row r="73" spans="1:11" ht="15" customHeight="1" x14ac:dyDescent="0.25">
      <c r="A73" s="34"/>
      <c r="B73" s="8"/>
      <c r="C73" s="8"/>
      <c r="D73" s="8"/>
      <c r="E73" s="8"/>
      <c r="F73" s="8"/>
      <c r="G73" s="8"/>
      <c r="H73" s="8"/>
      <c r="I73" s="8"/>
      <c r="J73" s="8"/>
      <c r="K73" s="9"/>
    </row>
    <row r="74" spans="1:11" ht="15" customHeight="1" x14ac:dyDescent="0.25">
      <c r="A74" s="34"/>
      <c r="B74" s="8"/>
      <c r="C74" s="8"/>
      <c r="D74" s="8"/>
      <c r="E74" s="8"/>
      <c r="F74" s="8"/>
      <c r="G74" s="8"/>
      <c r="H74" s="8"/>
      <c r="I74" s="8"/>
      <c r="J74" s="8"/>
      <c r="K74" s="9"/>
    </row>
    <row r="75" spans="1:11" ht="15" customHeight="1" x14ac:dyDescent="0.25">
      <c r="A75" s="34"/>
      <c r="B75" s="8"/>
      <c r="C75" s="8"/>
      <c r="D75" s="8"/>
      <c r="E75" s="8"/>
      <c r="F75" s="8"/>
      <c r="G75" s="8"/>
      <c r="H75" s="8"/>
      <c r="I75" s="8"/>
      <c r="J75" s="8"/>
      <c r="K75" s="9"/>
    </row>
    <row r="76" spans="1:11" ht="14.25" customHeight="1" x14ac:dyDescent="0.25">
      <c r="A76" s="6"/>
      <c r="B76" s="8"/>
      <c r="C76" s="8"/>
      <c r="D76" s="8"/>
      <c r="E76" s="8"/>
      <c r="F76" s="8"/>
      <c r="G76" s="8"/>
      <c r="H76" s="8"/>
      <c r="I76" s="8"/>
      <c r="J76" s="8"/>
      <c r="K76" s="9"/>
    </row>
    <row r="77" spans="1:11" ht="15" customHeight="1" x14ac:dyDescent="0.25">
      <c r="A77" s="34"/>
      <c r="B77" s="8"/>
      <c r="C77" s="8"/>
      <c r="D77" s="8"/>
      <c r="E77" s="8"/>
      <c r="F77" s="8"/>
      <c r="G77" s="8"/>
      <c r="H77" s="8"/>
      <c r="I77" s="8"/>
      <c r="J77" s="8"/>
      <c r="K77" s="9"/>
    </row>
    <row r="78" spans="1:11" ht="15" customHeight="1" x14ac:dyDescent="0.25">
      <c r="A78" s="34"/>
      <c r="B78" s="8"/>
      <c r="C78" s="8"/>
      <c r="D78" s="8"/>
      <c r="E78" s="8"/>
      <c r="F78" s="8"/>
      <c r="G78" s="8"/>
      <c r="H78" s="8"/>
      <c r="I78" s="8"/>
      <c r="J78" s="8"/>
      <c r="K78" s="9"/>
    </row>
    <row r="79" spans="1:11" ht="15" customHeight="1" x14ac:dyDescent="0.25">
      <c r="A79" s="34"/>
      <c r="B79" s="8"/>
      <c r="C79" s="8"/>
      <c r="D79" s="8"/>
      <c r="E79" s="8"/>
      <c r="F79" s="8"/>
      <c r="G79" s="8"/>
      <c r="H79" s="8"/>
      <c r="I79" s="8"/>
      <c r="J79" s="8"/>
      <c r="K79" s="9"/>
    </row>
    <row r="80" spans="1:11" ht="15" customHeight="1" x14ac:dyDescent="0.25">
      <c r="A80" s="34"/>
      <c r="B80" s="8"/>
      <c r="C80" s="8"/>
      <c r="D80" s="8"/>
      <c r="E80" s="8"/>
      <c r="F80" s="8"/>
      <c r="G80" s="8"/>
      <c r="H80" s="8"/>
      <c r="I80" s="8"/>
      <c r="J80" s="8"/>
      <c r="K80" s="9"/>
    </row>
    <row r="81" spans="1:11" ht="15" customHeight="1" x14ac:dyDescent="0.25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2"/>
    </row>
  </sheetData>
  <mergeCells count="5">
    <mergeCell ref="A1:B1"/>
    <mergeCell ref="E1:K1"/>
    <mergeCell ref="A6:B6"/>
    <mergeCell ref="A11:B11"/>
    <mergeCell ref="A17:B1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 Forma</vt:lpstr>
      <vt:lpstr>Worst Case</vt:lpstr>
      <vt:lpstr>Best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Margarita Kaprielyan</dc:creator>
  <dc:description/>
  <cp:lastModifiedBy>Kyle Murphy</cp:lastModifiedBy>
  <cp:revision>0</cp:revision>
  <dcterms:created xsi:type="dcterms:W3CDTF">2025-05-06T12:55:14Z</dcterms:created>
  <dcterms:modified xsi:type="dcterms:W3CDTF">2026-06-28T02:38:53Z</dcterms:modified>
  <dc:language>en-US</dc:language>
</cp:coreProperties>
</file>